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LUSTER" sheetId="1" state="visible" r:id="rId3"/>
    <sheet name="Rank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<sst xmlns="http://schemas.openxmlformats.org/spreadsheetml/2006/main" count="244" uniqueCount="64">
  <si>
    <t xml:space="preserve">Features</t>
  </si>
  <si>
    <t xml:space="preserve">Nuevos Activos</t>
  </si>
  <si>
    <t xml:space="preserve">Data Digitales</t>
  </si>
  <si>
    <t xml:space="preserve">Inactivos Volatil</t>
  </si>
  <si>
    <t xml:space="preserve">Crecimiento Moderados</t>
  </si>
  <si>
    <t xml:space="preserve">Recargas Estables</t>
  </si>
  <si>
    <t xml:space="preserve">Voz Data Tradicional</t>
  </si>
  <si>
    <t xml:space="preserve">Usuarios</t>
  </si>
  <si>
    <t xml:space="preserve">Nuevo Core</t>
  </si>
  <si>
    <t xml:space="preserve">Ranking de Datos (0-4)</t>
  </si>
  <si>
    <t xml:space="preserve">Ranking de Ingresos</t>
  </si>
  <si>
    <t xml:space="preserve">Ranking de Recargas</t>
  </si>
  <si>
    <t xml:space="preserve">Ranking de Llamadas Entrantes</t>
  </si>
  <si>
    <t xml:space="preserve">Ranking de Llamadas Salientes</t>
  </si>
  <si>
    <t xml:space="preserve">Frecuencia de Recargas</t>
  </si>
  <si>
    <t xml:space="preserve">Frecuencia de Paquetes</t>
  </si>
  <si>
    <t xml:space="preserve">Consumo Promedio de Datos</t>
  </si>
  <si>
    <t xml:space="preserve">Proporcion de Voz a Datos</t>
  </si>
  <si>
    <t xml:space="preserve">Consistencia General</t>
  </si>
  <si>
    <t xml:space="preserve">Puntuacion de Crecimiento</t>
  </si>
  <si>
    <t xml:space="preserve">Dias Desde la Ultima Actividad</t>
  </si>
  <si>
    <t xml:space="preserve">Puntuacion de Modelo Churn</t>
  </si>
  <si>
    <t xml:space="preserve">Total de Minutos de Voz</t>
  </si>
  <si>
    <t xml:space="preserve">Total de Llamadas</t>
  </si>
  <si>
    <t xml:space="preserve">Minutos Salientes ON Net</t>
  </si>
  <si>
    <t xml:space="preserve">Minutos Salientes OFF Net</t>
  </si>
  <si>
    <t xml:space="preserve">Minutos Entrantes Intl</t>
  </si>
  <si>
    <t xml:space="preserve">Minutos Entrantes ON Net</t>
  </si>
  <si>
    <t xml:space="preserve">Minutos Entrantes OFF Net</t>
  </si>
  <si>
    <t xml:space="preserve">TXN</t>
  </si>
  <si>
    <t xml:space="preserve">REV_PD_LC</t>
  </si>
  <si>
    <t xml:space="preserve">NAVEGACION</t>
  </si>
  <si>
    <t xml:space="preserve">Cluster 0</t>
  </si>
  <si>
    <t xml:space="preserve">Si Recargan</t>
  </si>
  <si>
    <t xml:space="preserve">cyber_security</t>
  </si>
  <si>
    <t xml:space="preserve">Navegacion</t>
  </si>
  <si>
    <t xml:space="preserve">Si Navegan</t>
  </si>
  <si>
    <t xml:space="preserve">SIN RECARGAS </t>
  </si>
  <si>
    <t xml:space="preserve">Super Recarga de L30 1 dia </t>
  </si>
  <si>
    <t xml:space="preserve">SIN NAVEGACION</t>
  </si>
  <si>
    <t xml:space="preserve">voip</t>
  </si>
  <si>
    <t xml:space="preserve">Super Recarga USSD L51 (3 DIAS) </t>
  </si>
  <si>
    <t xml:space="preserve">social_network</t>
  </si>
  <si>
    <t xml:space="preserve">Super Recarga USSD L102 (7 DIAS)</t>
  </si>
  <si>
    <t xml:space="preserve">technology</t>
  </si>
  <si>
    <t xml:space="preserve">Suscripci?n D?a Whatsapp Chat Ilimitado</t>
  </si>
  <si>
    <t xml:space="preserve">gaming</t>
  </si>
  <si>
    <t xml:space="preserve">PAQUETIGO 15MINS TR/USA/CAN + 25MB (2 DIAS)</t>
  </si>
  <si>
    <t xml:space="preserve">Cluster 1</t>
  </si>
  <si>
    <t xml:space="preserve">Super Recarga USSD L51 (3 DIAS)</t>
  </si>
  <si>
    <t xml:space="preserve">Super Recarga de L30 1 d?a</t>
  </si>
  <si>
    <t xml:space="preserve">SUPER RECARGA GAMING L120 (7 DIAS)</t>
  </si>
  <si>
    <t xml:space="preserve">Super Recarga de L220 (15 d?as) </t>
  </si>
  <si>
    <t xml:space="preserve">ecommerce</t>
  </si>
  <si>
    <t xml:space="preserve">Super Recarga de L220 (15 d?as)</t>
  </si>
  <si>
    <t xml:space="preserve">SUPER RECARGA USA $25 (MINUTOS ILIMITADOS ONNET/L.500 LPS-PROMO TIGO/USA/14GB/30 DIAS + WHATSAPP CHAT Y FACEBOOK ILIMITADO)</t>
  </si>
  <si>
    <t xml:space="preserve">Cluster 2</t>
  </si>
  <si>
    <t xml:space="preserve">car</t>
  </si>
  <si>
    <t xml:space="preserve">Super Recarga de L30 1 d?a </t>
  </si>
  <si>
    <t xml:space="preserve">Cluster 3</t>
  </si>
  <si>
    <t xml:space="preserve"> SIN RECARGAS</t>
  </si>
  <si>
    <t xml:space="preserve">Cluster 4</t>
  </si>
  <si>
    <t xml:space="preserve">SIN RECARGAS</t>
  </si>
  <si>
    <t xml:space="preserve">Cluster 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</si>
</sst>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0"/>
    <numFmt numFmtId="167" formatCode="#,##0.00"/>
    <numFmt numFmtId="168" formatCode="0%"/>
    <numFmt numFmtId="169" formatCode="0.00%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1"/>
      <color theme="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DEE6EF"/>
      </patternFill>
    </fill>
    <fill>
      <patternFill patternType="solid">
        <fgColor rgb="FFFFE994"/>
        <bgColor rgb="FFE8F2A1"/>
      </patternFill>
    </fill>
    <fill>
      <patternFill patternType="solid">
        <fgColor rgb="FFFFAA95"/>
        <bgColor rgb="FFE0C2CD"/>
      </patternFill>
    </fill>
    <fill>
      <patternFill patternType="solid">
        <fgColor rgb="FFB3CAC7"/>
        <bgColor rgb="FFB4C7DC"/>
      </patternFill>
    </fill>
    <fill>
      <patternFill patternType="solid">
        <fgColor rgb="FFE8F2A1"/>
        <bgColor rgb="FFFFE994"/>
      </patternFill>
    </fill>
    <fill>
      <patternFill patternType="solid">
        <fgColor rgb="FFDEE6EF"/>
        <bgColor rgb="FFDDE8CB"/>
      </patternFill>
    </fill>
    <fill>
      <patternFill patternType="solid">
        <fgColor rgb="FFDDE8CB"/>
        <bgColor rgb="FFDEE6EF"/>
      </patternFill>
    </fill>
    <fill>
      <patternFill patternType="solid">
        <fgColor rgb="FFFFDBB6"/>
        <bgColor rgb="FFFFD7D7"/>
      </patternFill>
    </fill>
    <fill>
      <patternFill patternType="solid">
        <fgColor rgb="FFFFD7D7"/>
        <bgColor rgb="FFFFDBB6"/>
      </patternFill>
    </fill>
    <fill>
      <patternFill patternType="solid">
        <fgColor rgb="FFE0C2CD"/>
        <bgColor rgb="FFFFD7D7"/>
      </patternFill>
    </fill>
    <fill>
      <patternFill patternType="solid">
        <fgColor rgb="FFB4C7DC"/>
        <bgColor rgb="FFB3CAC7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4">
    <dxf>
      <fill>
        <patternFill patternType="solid">
          <fgColor rgb="FF2A60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E1F5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3800"/>
          <bgColor rgb="FF000000"/>
        </patternFill>
      </fill>
    </dxf>
    <dxf>
      <fill>
        <patternFill patternType="solid">
          <fgColor rgb="FFFF8300"/>
          <bgColor rgb="FF000000"/>
        </patternFill>
      </fill>
    </dxf>
    <dxf>
      <fill>
        <patternFill patternType="solid">
          <fgColor rgb="FFFFEC00"/>
          <bgColor rgb="FF000000"/>
        </patternFill>
      </fill>
    </dxf>
    <dxf>
      <fill>
        <patternFill patternType="solid">
          <fgColor rgb="FFFFF100"/>
          <bgColor rgb="FF000000"/>
        </patternFill>
      </fill>
    </dxf>
    <dxf>
      <fill>
        <patternFill patternType="solid">
          <fgColor rgb="FF8AD817"/>
          <bgColor rgb="FF000000"/>
        </patternFill>
      </fill>
    </dxf>
    <dxf>
      <fill>
        <patternFill patternType="solid">
          <fgColor rgb="FFAAE311"/>
          <bgColor rgb="FF000000"/>
        </patternFill>
      </fill>
    </dxf>
    <dxf>
      <fill>
        <patternFill patternType="solid">
          <fgColor rgb="FFFF3500"/>
          <bgColor rgb="FF000000"/>
        </patternFill>
      </fill>
    </dxf>
    <dxf>
      <fill>
        <patternFill patternType="solid">
          <fgColor rgb="FFFFB600"/>
          <bgColor rgb="FF000000"/>
        </patternFill>
      </fill>
    </dxf>
    <dxf>
      <fill>
        <patternFill patternType="solid">
          <fgColor rgb="FFFFD200"/>
          <bgColor rgb="FF000000"/>
        </patternFill>
      </fill>
    </dxf>
    <dxf>
      <fill>
        <patternFill patternType="solid">
          <fgColor rgb="FF9CDE13"/>
          <bgColor rgb="FF000000"/>
        </patternFill>
      </fill>
    </dxf>
    <dxf>
      <fill>
        <patternFill patternType="solid">
          <fgColor rgb="FFC5EC0B"/>
          <bgColor rgb="FF000000"/>
        </patternFill>
      </fill>
    </dxf>
    <dxf>
      <fill>
        <patternFill patternType="solid">
          <fgColor rgb="FFFDFF00"/>
          <bgColor rgb="FF000000"/>
        </patternFill>
      </fill>
    </dxf>
    <dxf>
      <fill>
        <patternFill patternType="solid">
          <fgColor rgb="FFFF5100"/>
          <bgColor rgb="FF000000"/>
        </patternFill>
      </fill>
    </dxf>
    <dxf>
      <fill>
        <patternFill patternType="solid">
          <fgColor rgb="FFFF6B00"/>
          <bgColor rgb="FF000000"/>
        </patternFill>
      </fill>
    </dxf>
    <dxf>
      <fill>
        <patternFill patternType="solid">
          <fgColor rgb="FFFF7100"/>
          <bgColor rgb="FF000000"/>
        </patternFill>
      </fill>
    </dxf>
    <dxf>
      <fill>
        <patternFill patternType="solid">
          <fgColor rgb="FFFF7600"/>
          <bgColor rgb="FF000000"/>
        </patternFill>
      </fill>
    </dxf>
    <dxf>
      <fill>
        <patternFill patternType="solid">
          <fgColor rgb="FFFF8600"/>
          <bgColor rgb="FF000000"/>
        </patternFill>
      </fill>
    </dxf>
    <dxf>
      <fill>
        <patternFill patternType="solid">
          <fgColor rgb="FFFFA000"/>
          <bgColor rgb="FF000000"/>
        </patternFill>
      </fill>
    </dxf>
    <dxf>
      <fill>
        <patternFill patternType="solid">
          <fgColor rgb="FFEBF804"/>
          <bgColor rgb="FF000000"/>
        </patternFill>
      </fill>
    </dxf>
    <dxf>
      <fill>
        <patternFill patternType="solid">
          <fgColor rgb="FFF1FB02"/>
          <bgColor rgb="FF000000"/>
        </patternFill>
      </fill>
    </dxf>
    <dxf>
      <fill>
        <patternFill patternType="solid">
          <fgColor rgb="FFFF0E00"/>
          <bgColor rgb="FF000000"/>
        </patternFill>
      </fill>
    </dxf>
    <dxf>
      <fill>
        <patternFill patternType="solid">
          <fgColor rgb="FFFF2E00"/>
          <bgColor rgb="FF000000"/>
        </patternFill>
      </fill>
    </dxf>
    <dxf>
      <fill>
        <patternFill patternType="solid">
          <fgColor rgb="FFFF8C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D900"/>
          <bgColor rgb="FF000000"/>
        </patternFill>
      </fill>
    </dxf>
    <dxf>
      <fill>
        <patternFill patternType="solid">
          <fgColor rgb="FF1CB32D"/>
          <bgColor rgb="FF000000"/>
        </patternFill>
      </fill>
    </dxf>
    <dxf>
      <fill>
        <patternFill patternType="solid">
          <fgColor rgb="FF5EC920"/>
          <bgColor rgb="FF000000"/>
        </patternFill>
      </fill>
    </dxf>
    <dxf>
      <fill>
        <patternFill patternType="solid">
          <fgColor rgb="FF74D01C"/>
          <bgColor rgb="FF000000"/>
        </patternFill>
      </fill>
    </dxf>
    <dxf>
      <fill>
        <patternFill patternType="solid">
          <fgColor rgb="FF9FDF13"/>
          <bgColor rgb="FF000000"/>
        </patternFill>
      </fill>
    </dxf>
    <dxf>
      <fill>
        <patternFill patternType="solid">
          <fgColor rgb="FFA2E012"/>
          <bgColor rgb="FF000000"/>
        </patternFill>
      </fill>
    </dxf>
    <dxf>
      <fill>
        <patternFill patternType="solid">
          <fgColor rgb="FFB9E70E"/>
          <bgColor rgb="FF000000"/>
        </patternFill>
      </fill>
    </dxf>
    <dxf>
      <fill>
        <patternFill patternType="solid">
          <fgColor rgb="FFBEE90D"/>
          <bgColor rgb="FF000000"/>
        </patternFill>
      </fill>
    </dxf>
    <dxf>
      <fill>
        <patternFill patternType="solid">
          <fgColor rgb="FFE0F506"/>
          <bgColor rgb="FF000000"/>
        </patternFill>
      </fill>
    </dxf>
    <dxf>
      <fill>
        <patternFill patternType="solid">
          <fgColor rgb="FFE4F605"/>
          <bgColor rgb="FF000000"/>
        </patternFill>
      </fill>
    </dxf>
    <dxf>
      <fill>
        <patternFill patternType="solid">
          <fgColor rgb="FFE6F705"/>
          <bgColor rgb="FF000000"/>
        </patternFill>
      </fill>
    </dxf>
    <dxf>
      <fill>
        <patternFill patternType="solid">
          <fgColor rgb="FFFCFE00"/>
          <bgColor rgb="FF000000"/>
        </patternFill>
      </fill>
    </dxf>
    <dxf>
      <fill>
        <patternFill patternType="solid">
          <fgColor rgb="FFFF5500"/>
          <bgColor rgb="FF000000"/>
        </patternFill>
      </fill>
    </dxf>
    <dxf>
      <fill>
        <patternFill patternType="solid">
          <fgColor rgb="FFFFEB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E994"/>
      <rgbColor rgb="FFDEE6EF"/>
      <rgbColor rgb="FF660066"/>
      <rgbColor rgb="FFFF8080"/>
      <rgbColor rgb="FF2A6099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D7D7"/>
      <rgbColor rgb="FFDDE8CB"/>
      <rgbColor rgb="FFE8F2A1"/>
      <rgbColor rgb="FF99CCFF"/>
      <rgbColor rgb="FFFFAA95"/>
      <rgbColor rgb="FFE0C2CD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a4" displayName="Tabla4" ref="E1:K22" headerRowCount="1" totalsRowCount="0" totalsRowShown="0">
  <autoFilter ref="E1:K22"/>
  <tableColumns count="7">
    <tableColumn id="1" name="Features"/>
    <tableColumn id="2" name="Nuevos Activos"/>
    <tableColumn id="3" name="Data Digitales"/>
    <tableColumn id="4" name="Inactivos Volatil"/>
    <tableColumn id="5" name="Crecimiento Moderados"/>
    <tableColumn id="6" name="Recargas Estables"/>
    <tableColumn id="7" name="Voz Data Tradicional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K23"/>
  <sheetViews>
    <sheetView showFormulas="false" showGridLines="fals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M13" activeCellId="0" sqref="M13"/>
    </sheetView>
  </sheetViews>
  <sheetFormatPr defaultColWidth="10.79296875" defaultRowHeight="14.25" zeroHeight="false" outlineLevelRow="0" outlineLevelCol="0"/>
  <cols>
    <col collapsed="false" customWidth="true" hidden="false" outlineLevel="0" max="5" min="5" style="1" width="40.63"/>
    <col collapsed="false" customWidth="true" hidden="false" outlineLevel="0" max="7" min="6" style="1" width="17.54"/>
    <col collapsed="false" customWidth="true" hidden="false" outlineLevel="0" max="8" min="8" style="1" width="19.82"/>
    <col collapsed="false" customWidth="true" hidden="false" outlineLevel="0" max="9" min="9" style="1" width="23.57"/>
    <col collapsed="false" customWidth="true" hidden="false" outlineLevel="0" max="11" min="10" style="1" width="19.66"/>
  </cols>
  <sheetData>
    <row r="1" customFormat="false" ht="14.25" hidden="false" customHeight="false" outlineLevel="0" collapsed="false">
      <c r="E1" s="2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5</v>
      </c>
      <c r="K1" s="3" t="s">
        <v>6</v>
      </c>
    </row>
    <row r="2" customFormat="false" ht="14.25" hidden="false" customHeight="false" outlineLevel="0" collapsed="false">
      <c r="E2" s="4" t="s">
        <v>7</v>
      </c>
      <c r="F2" s="5" t="n">
        <v>202574</v>
      </c>
      <c r="G2" s="5" t="n">
        <v>459336</v>
      </c>
      <c r="H2" s="5" t="n">
        <v>602856</v>
      </c>
      <c r="I2" s="5" t="n">
        <v>680929</v>
      </c>
      <c r="J2" s="5" t="n">
        <v>953741</v>
      </c>
      <c r="K2" s="5" t="n">
        <v>897424</v>
      </c>
    </row>
    <row r="3" customFormat="false" ht="14.25" hidden="false" customHeight="false" outlineLevel="0" collapsed="false">
      <c r="E3" s="4" t="s">
        <v>8</v>
      </c>
      <c r="F3" s="6" t="n">
        <v>0.988177</v>
      </c>
      <c r="G3" s="6" t="n">
        <v>0.000292</v>
      </c>
      <c r="H3" s="6" t="n">
        <v>0.005439</v>
      </c>
      <c r="I3" s="6" t="n">
        <v>0.001881</v>
      </c>
      <c r="J3" s="6" t="n">
        <v>9E-008</v>
      </c>
      <c r="K3" s="6" t="n">
        <v>1.2E-005</v>
      </c>
    </row>
    <row r="4" customFormat="false" ht="14.25" hidden="false" customHeight="false" outlineLevel="0" collapsed="false">
      <c r="E4" s="4" t="s">
        <v>9</v>
      </c>
      <c r="F4" s="6" t="n">
        <v>1.88</v>
      </c>
      <c r="G4" s="6" t="n">
        <v>3.96</v>
      </c>
      <c r="H4" s="6" t="n">
        <v>1.33</v>
      </c>
      <c r="I4" s="6" t="n">
        <v>2.13</v>
      </c>
      <c r="J4" s="6" t="n">
        <v>3.56</v>
      </c>
      <c r="K4" s="6" t="n">
        <v>2.35</v>
      </c>
    </row>
    <row r="5" customFormat="false" ht="14.25" hidden="false" customHeight="false" outlineLevel="0" collapsed="false">
      <c r="E5" s="4" t="s">
        <v>10</v>
      </c>
      <c r="F5" s="6" t="n">
        <v>1.12</v>
      </c>
      <c r="G5" s="6" t="n">
        <v>3.89</v>
      </c>
      <c r="H5" s="6" t="n">
        <v>0.08</v>
      </c>
      <c r="I5" s="6" t="n">
        <v>1.65</v>
      </c>
      <c r="J5" s="6" t="n">
        <v>3.72</v>
      </c>
      <c r="K5" s="6" t="n">
        <v>2.81</v>
      </c>
    </row>
    <row r="6" customFormat="false" ht="14.25" hidden="false" customHeight="false" outlineLevel="0" collapsed="false">
      <c r="E6" s="4" t="s">
        <v>11</v>
      </c>
      <c r="F6" s="6" t="n">
        <v>1.1</v>
      </c>
      <c r="G6" s="6" t="n">
        <v>3.82</v>
      </c>
      <c r="H6" s="6" t="n">
        <v>0.08</v>
      </c>
      <c r="I6" s="6" t="n">
        <v>1.59</v>
      </c>
      <c r="J6" s="6" t="n">
        <v>3.77</v>
      </c>
      <c r="K6" s="6" t="n">
        <v>3.16</v>
      </c>
    </row>
    <row r="7" customFormat="false" ht="14.25" hidden="false" customHeight="false" outlineLevel="0" collapsed="false">
      <c r="E7" s="4" t="s">
        <v>12</v>
      </c>
      <c r="F7" s="6" t="n">
        <v>2.08</v>
      </c>
      <c r="G7" s="6" t="n">
        <v>3.4</v>
      </c>
      <c r="H7" s="6" t="n">
        <v>1.64</v>
      </c>
      <c r="I7" s="6" t="n">
        <v>2.35</v>
      </c>
      <c r="J7" s="6" t="n">
        <v>3.44</v>
      </c>
      <c r="K7" s="6" t="n">
        <v>2.71</v>
      </c>
    </row>
    <row r="8" customFormat="false" ht="14.25" hidden="false" customHeight="false" outlineLevel="0" collapsed="false">
      <c r="E8" s="4" t="s">
        <v>13</v>
      </c>
      <c r="F8" s="6" t="n">
        <v>1.08</v>
      </c>
      <c r="G8" s="6" t="n">
        <v>3.63</v>
      </c>
      <c r="H8" s="6" t="n">
        <v>0.26</v>
      </c>
      <c r="I8" s="6" t="n">
        <v>1.61</v>
      </c>
      <c r="J8" s="6" t="n">
        <v>3.59</v>
      </c>
      <c r="K8" s="6" t="n">
        <v>2.53</v>
      </c>
    </row>
    <row r="9" customFormat="false" ht="14.25" hidden="false" customHeight="false" outlineLevel="0" collapsed="false">
      <c r="D9" s="7"/>
      <c r="E9" s="4" t="s">
        <v>14</v>
      </c>
      <c r="F9" s="6" t="n">
        <v>22.59</v>
      </c>
      <c r="G9" s="6" t="n">
        <v>7.33</v>
      </c>
      <c r="H9" s="6" t="n">
        <v>0.89</v>
      </c>
      <c r="I9" s="6" t="n">
        <v>4.68</v>
      </c>
      <c r="J9" s="6" t="n">
        <v>8.18</v>
      </c>
      <c r="K9" s="6" t="n">
        <v>17.88</v>
      </c>
    </row>
    <row r="10" customFormat="false" ht="14.25" hidden="false" customHeight="false" outlineLevel="0" collapsed="false">
      <c r="D10" s="7"/>
      <c r="E10" s="4" t="s">
        <v>15</v>
      </c>
      <c r="F10" s="6" t="n">
        <v>18.91</v>
      </c>
      <c r="G10" s="6" t="n">
        <v>5.88</v>
      </c>
      <c r="H10" s="6" t="n">
        <v>1.29</v>
      </c>
      <c r="I10" s="6" t="n">
        <v>4</v>
      </c>
      <c r="J10" s="6" t="n">
        <v>6.99</v>
      </c>
      <c r="K10" s="6" t="n">
        <v>15.26</v>
      </c>
    </row>
    <row r="11" customFormat="false" ht="14.25" hidden="false" customHeight="false" outlineLevel="0" collapsed="false">
      <c r="D11" s="7"/>
      <c r="E11" s="4" t="s">
        <v>16</v>
      </c>
      <c r="F11" s="8" t="n">
        <v>1194.75</v>
      </c>
      <c r="G11" s="8" t="n">
        <v>33394.71</v>
      </c>
      <c r="H11" s="8" t="n">
        <v>133.16</v>
      </c>
      <c r="I11" s="8" t="n">
        <v>2350.79</v>
      </c>
      <c r="J11" s="8" t="n">
        <v>12918.21</v>
      </c>
      <c r="K11" s="8" t="n">
        <v>2222.3</v>
      </c>
    </row>
    <row r="12" customFormat="false" ht="14.25" hidden="false" customHeight="false" outlineLevel="0" collapsed="false">
      <c r="D12" s="7"/>
      <c r="E12" s="4" t="s">
        <v>17</v>
      </c>
      <c r="F12" s="6" t="n">
        <v>13.11</v>
      </c>
      <c r="G12" s="6" t="n">
        <v>0.06</v>
      </c>
      <c r="H12" s="6" t="n">
        <v>16.87</v>
      </c>
      <c r="I12" s="6" t="n">
        <v>9.38</v>
      </c>
      <c r="J12" s="6" t="n">
        <v>12.34</v>
      </c>
      <c r="K12" s="6" t="n">
        <v>31.5</v>
      </c>
    </row>
    <row r="13" customFormat="false" ht="14.25" hidden="false" customHeight="false" outlineLevel="0" collapsed="false">
      <c r="D13" s="7"/>
      <c r="E13" s="4" t="s">
        <v>18</v>
      </c>
      <c r="F13" s="6" t="n">
        <v>0.24455</v>
      </c>
      <c r="G13" s="6" t="n">
        <v>0.0840009</v>
      </c>
      <c r="H13" s="6" t="n">
        <v>0.699798</v>
      </c>
      <c r="I13" s="6" t="n">
        <v>0.174227</v>
      </c>
      <c r="J13" s="6" t="n">
        <v>0.081753</v>
      </c>
      <c r="K13" s="6" t="n">
        <v>0.106714</v>
      </c>
    </row>
    <row r="14" customFormat="false" ht="14.25" hidden="false" customHeight="false" outlineLevel="0" collapsed="false">
      <c r="D14" s="7"/>
      <c r="E14" s="4" t="s">
        <v>19</v>
      </c>
      <c r="F14" s="6" t="n">
        <v>-0.085128</v>
      </c>
      <c r="G14" s="6" t="n">
        <v>0.040928</v>
      </c>
      <c r="H14" s="6" t="n">
        <v>0.126884</v>
      </c>
      <c r="I14" s="6" t="n">
        <v>0.550785</v>
      </c>
      <c r="J14" s="6" t="n">
        <v>0.051421</v>
      </c>
      <c r="K14" s="6" t="n">
        <v>0.121197</v>
      </c>
    </row>
    <row r="15" customFormat="false" ht="14.25" hidden="false" customHeight="false" outlineLevel="0" collapsed="false">
      <c r="D15" s="7"/>
      <c r="E15" s="4" t="s">
        <v>20</v>
      </c>
      <c r="F15" s="6" t="n">
        <v>3.14</v>
      </c>
      <c r="G15" s="9" t="n">
        <v>0.27</v>
      </c>
      <c r="H15" s="6" t="n">
        <v>39.86</v>
      </c>
      <c r="I15" s="6" t="n">
        <v>11.02</v>
      </c>
      <c r="J15" s="9" t="n">
        <v>0.48</v>
      </c>
      <c r="K15" s="6" t="n">
        <v>2.18</v>
      </c>
    </row>
    <row r="16" customFormat="false" ht="14.25" hidden="false" customHeight="false" outlineLevel="0" collapsed="false">
      <c r="D16" s="7"/>
      <c r="E16" s="4" t="s">
        <v>21</v>
      </c>
      <c r="F16" s="10" t="n">
        <v>0.528522</v>
      </c>
      <c r="G16" s="10" t="n">
        <v>0.047301</v>
      </c>
      <c r="H16" s="10" t="n">
        <v>0.861064</v>
      </c>
      <c r="I16" s="10" t="n">
        <v>0.584193</v>
      </c>
      <c r="J16" s="10" t="n">
        <v>0.057326</v>
      </c>
      <c r="K16" s="10" t="n">
        <v>0.226253</v>
      </c>
    </row>
    <row r="17" customFormat="false" ht="14.25" hidden="false" customHeight="false" outlineLevel="0" collapsed="false">
      <c r="D17" s="7"/>
      <c r="E17" s="4" t="s">
        <v>22</v>
      </c>
      <c r="F17" s="6" t="n">
        <v>67.84</v>
      </c>
      <c r="G17" s="6" t="n">
        <v>322.06</v>
      </c>
      <c r="H17" s="6" t="n">
        <v>28.6</v>
      </c>
      <c r="I17" s="6" t="n">
        <v>46.59</v>
      </c>
      <c r="J17" s="6" t="n">
        <v>280.96</v>
      </c>
      <c r="K17" s="6" t="n">
        <v>97.73</v>
      </c>
    </row>
    <row r="18" customFormat="false" ht="14.25" hidden="false" customHeight="false" outlineLevel="0" collapsed="false">
      <c r="E18" s="4" t="s">
        <v>23</v>
      </c>
      <c r="F18" s="6" t="n">
        <v>80.8</v>
      </c>
      <c r="G18" s="6" t="n">
        <v>547.05</v>
      </c>
      <c r="H18" s="6" t="n">
        <v>47.28</v>
      </c>
      <c r="I18" s="6" t="n">
        <v>115.76</v>
      </c>
      <c r="J18" s="6" t="n">
        <v>487.12</v>
      </c>
      <c r="K18" s="6" t="n">
        <v>181.39</v>
      </c>
    </row>
    <row r="19" customFormat="false" ht="14.25" hidden="false" customHeight="false" outlineLevel="0" collapsed="false">
      <c r="E19" s="4" t="s">
        <v>24</v>
      </c>
      <c r="F19" s="11" t="n">
        <v>6.85</v>
      </c>
      <c r="G19" s="11" t="n">
        <v>12.46</v>
      </c>
      <c r="H19" s="6" t="n">
        <v>1.95</v>
      </c>
      <c r="I19" s="6" t="n">
        <v>95.25</v>
      </c>
      <c r="J19" s="6" t="n">
        <v>10.62</v>
      </c>
      <c r="K19" s="6" t="n">
        <v>14.88</v>
      </c>
    </row>
    <row r="20" customFormat="false" ht="14.25" hidden="false" customHeight="false" outlineLevel="0" collapsed="false">
      <c r="E20" s="4" t="s">
        <v>25</v>
      </c>
      <c r="F20" s="11" t="n">
        <v>0.6</v>
      </c>
      <c r="G20" s="6" t="n">
        <v>1.09</v>
      </c>
      <c r="H20" s="6" t="n">
        <v>0.2</v>
      </c>
      <c r="I20" s="6" t="n">
        <v>8</v>
      </c>
      <c r="J20" s="6" t="n">
        <v>0.82</v>
      </c>
      <c r="K20" s="6" t="n">
        <v>1.3</v>
      </c>
    </row>
    <row r="21" customFormat="false" ht="14.25" hidden="false" customHeight="false" outlineLevel="0" collapsed="false">
      <c r="E21" s="4" t="s">
        <v>26</v>
      </c>
      <c r="F21" s="6" t="n">
        <v>0.088514</v>
      </c>
      <c r="G21" s="6" t="n">
        <v>0.00087313</v>
      </c>
      <c r="H21" s="6" t="n">
        <v>0.518817</v>
      </c>
      <c r="I21" s="6" t="n">
        <v>1.41</v>
      </c>
      <c r="J21" s="6" t="n">
        <v>0.096402</v>
      </c>
      <c r="K21" s="6" t="n">
        <v>0.297971</v>
      </c>
    </row>
    <row r="22" customFormat="false" ht="14.25" hidden="false" customHeight="false" outlineLevel="0" collapsed="false">
      <c r="E22" s="4" t="s">
        <v>27</v>
      </c>
      <c r="F22" s="6" t="n">
        <v>9.13</v>
      </c>
      <c r="G22" s="6" t="n">
        <v>4.26</v>
      </c>
      <c r="H22" s="6" t="n">
        <v>29.77</v>
      </c>
      <c r="I22" s="6" t="n">
        <v>95.48</v>
      </c>
      <c r="J22" s="6" t="n">
        <v>4.1</v>
      </c>
      <c r="K22" s="6" t="n">
        <v>9.54</v>
      </c>
    </row>
    <row r="23" customFormat="false" ht="14.25" hidden="false" customHeight="false" outlineLevel="0" collapsed="false">
      <c r="E23" s="4" t="s">
        <v>28</v>
      </c>
      <c r="F23" s="6" t="n">
        <v>1.13</v>
      </c>
      <c r="G23" s="6" t="n">
        <v>0.75</v>
      </c>
      <c r="H23" s="6" t="n">
        <v>3.69</v>
      </c>
      <c r="I23" s="6" t="n">
        <v>13.61</v>
      </c>
      <c r="J23" s="6" t="n">
        <v>0.69</v>
      </c>
      <c r="K23" s="6" t="n">
        <v>1.42</v>
      </c>
    </row>
  </sheetData>
  <conditionalFormatting sqref="F3:K3">
    <cfRule type="colorScale" priority="2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23:K23">
    <cfRule type="colorScale" priority="3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1:K11">
    <cfRule type="colorScale" priority="4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4:K14">
    <cfRule type="colorScale" priority="5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5:K15">
    <cfRule type="colorScale" priority="6">
      <colorScale>
        <cfvo type="percentile" val="25"/>
        <cfvo type="percentile" val="50"/>
        <cfvo type="percentile" val="75"/>
        <color rgb="FF00A933"/>
        <color rgb="FFFFFF00"/>
        <color rgb="FFFF0000"/>
      </colorScale>
    </cfRule>
  </conditionalFormatting>
  <conditionalFormatting sqref="F16:K16">
    <cfRule type="colorScale" priority="7">
      <colorScale>
        <cfvo type="percentile" val="25"/>
        <cfvo type="percentile" val="50"/>
        <cfvo type="percentile" val="75"/>
        <color rgb="FF00A933"/>
        <color rgb="FFFFFF00"/>
        <color rgb="FFFF0000"/>
      </colorScale>
    </cfRule>
  </conditionalFormatting>
  <conditionalFormatting sqref="F13:K13">
    <cfRule type="colorScale" priority="8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2:K12">
    <cfRule type="colorScale" priority="9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0:K10">
    <cfRule type="colorScale" priority="10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9:K9">
    <cfRule type="colorScale" priority="11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8:K8">
    <cfRule type="colorScale" priority="12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6:K6">
    <cfRule type="colorScale" priority="13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20:K20">
    <cfRule type="colorScale" priority="14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4:K4">
    <cfRule type="colorScale" priority="15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5:K5">
    <cfRule type="colorScale" priority="16">
      <colorScale>
        <cfvo type="percentile" val="24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7:K7">
    <cfRule type="colorScale" priority="17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7:K17">
    <cfRule type="colorScale" priority="18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8:K18">
    <cfRule type="colorScale" priority="19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19:K19">
    <cfRule type="colorScale" priority="20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21:K21">
    <cfRule type="colorScale" priority="21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conditionalFormatting sqref="F22:K22">
    <cfRule type="colorScale" priority="22">
      <colorScale>
        <cfvo type="percentile" val="25"/>
        <cfvo type="percentile" val="50"/>
        <cfvo type="percentile" val="75"/>
        <color rgb="FFFF0000"/>
        <color rgb="FFFFFF00"/>
        <color rgb="FF00A933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2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X47" activeCellId="0" sqref="X47"/>
    </sheetView>
  </sheetViews>
  <sheetFormatPr defaultColWidth="13.4765625" defaultRowHeight="12.8" zeroHeight="false" outlineLevelRow="0" outlineLevelCol="0"/>
  <cols>
    <col collapsed="false" customWidth="true" hidden="false" outlineLevel="0" max="1" min="1" style="1" width="33.8"/>
    <col collapsed="false" customWidth="true" hidden="false" outlineLevel="0" max="3" min="3" style="1" width="14.62"/>
    <col collapsed="false" customWidth="true" hidden="false" outlineLevel="0" max="7" min="7" style="1" width="33.97"/>
    <col collapsed="false" customWidth="true" hidden="false" outlineLevel="0" max="10" min="10" style="1" width="34.62"/>
    <col collapsed="false" customWidth="true" hidden="false" outlineLevel="0" max="16" min="16" style="1" width="34.62"/>
  </cols>
  <sheetData>
    <row r="1" customFormat="false" ht="13.8" hidden="false" customHeight="false" outlineLevel="0" collapsed="false">
      <c r="A1" s="12" t="s">
        <v>29</v>
      </c>
      <c r="B1" s="12"/>
      <c r="C1" s="12"/>
      <c r="D1" s="12"/>
      <c r="E1" s="12"/>
      <c r="F1" s="12"/>
      <c r="G1" s="12"/>
      <c r="H1" s="12"/>
      <c r="I1" s="12"/>
      <c r="J1" s="13" t="s">
        <v>30</v>
      </c>
      <c r="K1" s="13"/>
      <c r="L1" s="13"/>
      <c r="M1" s="13"/>
      <c r="N1" s="13"/>
      <c r="O1" s="13"/>
      <c r="P1" s="13"/>
      <c r="Q1" s="13"/>
      <c r="R1" s="13"/>
      <c r="S1" s="14" t="s">
        <v>31</v>
      </c>
      <c r="T1" s="14"/>
      <c r="U1" s="14"/>
      <c r="V1" s="14"/>
      <c r="W1" s="14"/>
      <c r="X1" s="14"/>
      <c r="Y1" s="14"/>
      <c r="Z1" s="14"/>
      <c r="AA1" s="14"/>
      <c r="AB1" s="14"/>
    </row>
    <row r="2" customFormat="false" ht="13.8" hidden="false" customHeight="false" outlineLevel="0" collapsed="false">
      <c r="A2" s="15" t="s">
        <v>32</v>
      </c>
      <c r="B2" s="16" t="n">
        <v>680292</v>
      </c>
      <c r="C2" s="17"/>
      <c r="D2" s="18"/>
      <c r="E2" s="19" t="s">
        <v>33</v>
      </c>
      <c r="F2" s="20" t="n">
        <f aca="false">B4+B5+B6+B7+B8</f>
        <v>112074</v>
      </c>
      <c r="G2" s="21" t="n">
        <f aca="false">(F2/B2)</f>
        <v>0.164743962886525</v>
      </c>
      <c r="H2" s="18"/>
      <c r="I2" s="22"/>
      <c r="J2" s="15" t="s">
        <v>32</v>
      </c>
      <c r="K2" s="16" t="n">
        <v>680292</v>
      </c>
      <c r="L2" s="23"/>
      <c r="M2" s="18"/>
      <c r="N2" s="19" t="s">
        <v>33</v>
      </c>
      <c r="O2" s="20" t="n">
        <f aca="false">K4+K5+K6+K7+K8</f>
        <v>110879</v>
      </c>
      <c r="P2" s="21" t="n">
        <f aca="false">(O2/K2)</f>
        <v>0.162987364249469</v>
      </c>
      <c r="Q2" s="18"/>
      <c r="R2" s="24"/>
      <c r="S2" s="25" t="s">
        <v>34</v>
      </c>
      <c r="T2" s="26" t="s">
        <v>35</v>
      </c>
      <c r="U2" s="18"/>
      <c r="V2" s="18"/>
      <c r="W2" s="18"/>
      <c r="X2" s="18"/>
      <c r="Y2" s="27" t="s">
        <v>36</v>
      </c>
      <c r="Z2" s="28" t="n">
        <f aca="false">SUM(AA3:AA6)</f>
        <v>140373</v>
      </c>
      <c r="AA2" s="29" t="n">
        <f aca="false">(Z2/B2)</f>
        <v>0.206342276551834</v>
      </c>
      <c r="AB2" s="24"/>
    </row>
    <row r="3" customFormat="false" ht="13.8" hidden="false" customHeight="false" outlineLevel="0" collapsed="false">
      <c r="A3" s="30" t="s">
        <v>37</v>
      </c>
      <c r="B3" s="31" t="n">
        <v>559841</v>
      </c>
      <c r="C3" s="32" t="n">
        <f aca="false">(B3/$B$2)</f>
        <v>0.822942207169862</v>
      </c>
      <c r="F3" s="33" t="n">
        <f aca="false">(B2-F2) - B3</f>
        <v>8377</v>
      </c>
      <c r="G3" s="30" t="s">
        <v>38</v>
      </c>
      <c r="H3" s="34" t="n">
        <f aca="false">B4</f>
        <v>53287</v>
      </c>
      <c r="I3" s="32" t="n">
        <f aca="false">(H3/$F$2)</f>
        <v>0.475462640755215</v>
      </c>
      <c r="J3" s="30" t="s">
        <v>37</v>
      </c>
      <c r="K3" s="31" t="n">
        <v>559841</v>
      </c>
      <c r="L3" s="32" t="n">
        <f aca="false">(K3/$B$2)</f>
        <v>0.822942207169862</v>
      </c>
      <c r="O3" s="33" t="n">
        <f aca="false">(K2-O2) - K3</f>
        <v>9572</v>
      </c>
      <c r="P3" s="30" t="s">
        <v>38</v>
      </c>
      <c r="Q3" s="31" t="n">
        <v>51225</v>
      </c>
      <c r="R3" s="32" t="n">
        <f aca="false">(Q3/$O$2)</f>
        <v>0.461990097313287</v>
      </c>
      <c r="S3" s="35" t="n">
        <f aca="false">(V3- 436498)</f>
        <v>96219</v>
      </c>
      <c r="T3" s="36" t="n">
        <f aca="false">(S3/V3)</f>
        <v>0.180619353240088</v>
      </c>
      <c r="U3" s="30" t="s">
        <v>39</v>
      </c>
      <c r="V3" s="31" t="n">
        <v>532717</v>
      </c>
      <c r="W3" s="32" t="n">
        <f aca="false">(V3/$B$2)</f>
        <v>0.783071093001241</v>
      </c>
      <c r="Y3" s="33" t="n">
        <f aca="false">(B2- Z2) - V3</f>
        <v>7202</v>
      </c>
      <c r="Z3" s="30" t="s">
        <v>40</v>
      </c>
      <c r="AA3" s="31" t="n">
        <v>68771</v>
      </c>
      <c r="AB3" s="32" t="n">
        <f aca="false">(AA3/$Z$2)</f>
        <v>0.489916151966546</v>
      </c>
    </row>
    <row r="4" customFormat="false" ht="13.8" hidden="false" customHeight="false" outlineLevel="0" collapsed="false">
      <c r="A4" s="30" t="s">
        <v>38</v>
      </c>
      <c r="B4" s="31" t="n">
        <v>53287</v>
      </c>
      <c r="C4" s="32" t="n">
        <f aca="false">(B4/$B$2)</f>
        <v>0.0783295996425065</v>
      </c>
      <c r="G4" s="30" t="s">
        <v>41</v>
      </c>
      <c r="H4" s="34" t="n">
        <f aca="false">B5</f>
        <v>33072</v>
      </c>
      <c r="I4" s="32" t="n">
        <f aca="false">(H4/$F$2)</f>
        <v>0.295090743615825</v>
      </c>
      <c r="J4" s="30" t="s">
        <v>38</v>
      </c>
      <c r="K4" s="31" t="n">
        <v>51225</v>
      </c>
      <c r="L4" s="32" t="n">
        <f aca="false">(K4/$B$2)</f>
        <v>0.0752985482704486</v>
      </c>
      <c r="P4" s="30" t="s">
        <v>41</v>
      </c>
      <c r="Q4" s="31" t="n">
        <v>33400</v>
      </c>
      <c r="R4" s="32" t="n">
        <f aca="false">(Q4/$O$2)</f>
        <v>0.301229267940728</v>
      </c>
      <c r="S4" s="37" t="n">
        <f aca="false">(V4- 45673)</f>
        <v>23098</v>
      </c>
      <c r="T4" s="36" t="n">
        <f aca="false">(S4/V4)</f>
        <v>0.335868316586933</v>
      </c>
      <c r="U4" s="30" t="s">
        <v>40</v>
      </c>
      <c r="V4" s="31" t="n">
        <v>68771</v>
      </c>
      <c r="W4" s="32" t="n">
        <f aca="false">(V4/$B$2)</f>
        <v>0.101090414116291</v>
      </c>
      <c r="Z4" s="30" t="s">
        <v>42</v>
      </c>
      <c r="AA4" s="31" t="n">
        <v>59662</v>
      </c>
      <c r="AB4" s="32" t="n">
        <f aca="false">(AA4/$Z$2)</f>
        <v>0.425024755472919</v>
      </c>
    </row>
    <row r="5" customFormat="false" ht="13.8" hidden="false" customHeight="false" outlineLevel="0" collapsed="false">
      <c r="A5" s="30" t="s">
        <v>41</v>
      </c>
      <c r="B5" s="31" t="n">
        <v>33072</v>
      </c>
      <c r="C5" s="32" t="n">
        <f aca="false">(B5/$B$2)</f>
        <v>0.0486144185144026</v>
      </c>
      <c r="G5" s="30" t="s">
        <v>43</v>
      </c>
      <c r="H5" s="34" t="n">
        <f aca="false">B6</f>
        <v>18657</v>
      </c>
      <c r="I5" s="32" t="n">
        <f aca="false">(H5/$F$2)</f>
        <v>0.166470367792708</v>
      </c>
      <c r="J5" s="30" t="s">
        <v>41</v>
      </c>
      <c r="K5" s="31" t="n">
        <v>33400</v>
      </c>
      <c r="L5" s="32" t="n">
        <f aca="false">(K5/$B$2)</f>
        <v>0.0490965644164565</v>
      </c>
      <c r="P5" s="30" t="s">
        <v>43</v>
      </c>
      <c r="Q5" s="31" t="n">
        <v>20049</v>
      </c>
      <c r="R5" s="32" t="n">
        <f aca="false">(Q5/$O$2)</f>
        <v>0.180818730327654</v>
      </c>
      <c r="S5" s="37" t="n">
        <f aca="false">(V5-47123)</f>
        <v>12539</v>
      </c>
      <c r="T5" s="36" t="n">
        <f aca="false">(S5/V5)</f>
        <v>0.210167275652844</v>
      </c>
      <c r="U5" s="30" t="s">
        <v>42</v>
      </c>
      <c r="V5" s="31" t="n">
        <v>59662</v>
      </c>
      <c r="W5" s="32" t="n">
        <f aca="false">(V5/$B$2)</f>
        <v>0.0877005756351684</v>
      </c>
      <c r="Z5" s="30" t="s">
        <v>44</v>
      </c>
      <c r="AA5" s="31" t="n">
        <v>9179</v>
      </c>
      <c r="AB5" s="32" t="n">
        <f aca="false">(AA5/$Z$2)</f>
        <v>0.0653900678905488</v>
      </c>
    </row>
    <row r="6" customFormat="false" ht="13.8" hidden="false" customHeight="false" outlineLevel="0" collapsed="false">
      <c r="A6" s="30" t="s">
        <v>43</v>
      </c>
      <c r="B6" s="31" t="n">
        <v>18657</v>
      </c>
      <c r="C6" s="32" t="n">
        <f aca="false">(B6/$B$2)</f>
        <v>0.0274249880933482</v>
      </c>
      <c r="G6" s="30" t="s">
        <v>45</v>
      </c>
      <c r="H6" s="34" t="n">
        <f aca="false">B7</f>
        <v>4520</v>
      </c>
      <c r="I6" s="32" t="n">
        <f aca="false">(H6/$F$2)</f>
        <v>0.040330495922337</v>
      </c>
      <c r="J6" s="30" t="s">
        <v>43</v>
      </c>
      <c r="K6" s="31" t="n">
        <v>20049</v>
      </c>
      <c r="L6" s="32" t="n">
        <f aca="false">(K6/$B$2)</f>
        <v>0.02947116826304</v>
      </c>
      <c r="P6" s="30" t="s">
        <v>45</v>
      </c>
      <c r="Q6" s="31" t="n">
        <v>4386</v>
      </c>
      <c r="R6" s="32" t="n">
        <f aca="false">(Q6/$O$2)</f>
        <v>0.039556633808025</v>
      </c>
      <c r="S6" s="37" t="n">
        <f aca="false">(V6-1975)</f>
        <v>7204</v>
      </c>
      <c r="T6" s="36" t="n">
        <f aca="false">(S6/V6)</f>
        <v>0.784834949340887</v>
      </c>
      <c r="U6" s="30" t="s">
        <v>44</v>
      </c>
      <c r="V6" s="31" t="n">
        <v>9179</v>
      </c>
      <c r="W6" s="32" t="n">
        <f aca="false">(V6/$B$2)</f>
        <v>0.0134927354724148</v>
      </c>
      <c r="Z6" s="30" t="s">
        <v>46</v>
      </c>
      <c r="AA6" s="31" t="n">
        <v>2761</v>
      </c>
      <c r="AB6" s="32" t="n">
        <f aca="false">(AA6/$Z$2)</f>
        <v>0.0196690246699864</v>
      </c>
    </row>
    <row r="7" customFormat="false" ht="13.8" hidden="false" customHeight="false" outlineLevel="0" collapsed="false">
      <c r="A7" s="30" t="s">
        <v>45</v>
      </c>
      <c r="B7" s="31" t="n">
        <v>4520</v>
      </c>
      <c r="C7" s="32" t="n">
        <f aca="false">(B7/$B$2)</f>
        <v>0.00664420572342465</v>
      </c>
      <c r="G7" s="30" t="s">
        <v>47</v>
      </c>
      <c r="H7" s="38" t="n">
        <v>2538</v>
      </c>
      <c r="I7" s="32" t="n">
        <f aca="false">(H7/$F$2)</f>
        <v>0.022645751913914</v>
      </c>
      <c r="J7" s="30" t="s">
        <v>45</v>
      </c>
      <c r="K7" s="31" t="n">
        <v>4386</v>
      </c>
      <c r="L7" s="32" t="n">
        <f aca="false">(K7/$B$2)</f>
        <v>0.00644723148295144</v>
      </c>
      <c r="P7" s="30" t="s">
        <v>47</v>
      </c>
      <c r="Q7" s="31" t="n">
        <v>1819</v>
      </c>
      <c r="R7" s="32" t="n">
        <f aca="false">(Q7/$O$2)</f>
        <v>0.0164052706103049</v>
      </c>
      <c r="S7" s="37" t="n">
        <f aca="false">(V7-1746)</f>
        <v>1015</v>
      </c>
      <c r="T7" s="36" t="n">
        <f aca="false">(S7/V7)</f>
        <v>0.367620427381384</v>
      </c>
      <c r="U7" s="30" t="s">
        <v>46</v>
      </c>
      <c r="V7" s="31" t="n">
        <v>2761</v>
      </c>
      <c r="W7" s="32" t="n">
        <f aca="false">(V7/$B$2)</f>
        <v>0.00405855132795917</v>
      </c>
      <c r="AA7" s="33"/>
      <c r="AB7" s="24"/>
    </row>
    <row r="8" customFormat="false" ht="13.8" hidden="false" customHeight="false" outlineLevel="0" collapsed="false">
      <c r="A8" s="30" t="s">
        <v>47</v>
      </c>
      <c r="B8" s="31" t="n">
        <v>2538</v>
      </c>
      <c r="C8" s="32" t="n">
        <f aca="false">(B8/$B$2)</f>
        <v>0.00373075091284331</v>
      </c>
      <c r="I8" s="22"/>
      <c r="J8" s="30" t="s">
        <v>47</v>
      </c>
      <c r="K8" s="31" t="n">
        <v>1819</v>
      </c>
      <c r="L8" s="32" t="n">
        <f aca="false">(K8/$B$2)</f>
        <v>0.00267385181657288</v>
      </c>
      <c r="R8" s="24"/>
      <c r="S8" s="39"/>
      <c r="V8" s="40"/>
      <c r="W8" s="41"/>
      <c r="AA8" s="33"/>
      <c r="AB8" s="24"/>
    </row>
    <row r="9" customFormat="false" ht="13.8" hidden="false" customHeight="false" outlineLevel="0" collapsed="false">
      <c r="A9" s="39"/>
      <c r="C9" s="17"/>
      <c r="I9" s="22"/>
      <c r="J9" s="39"/>
      <c r="L9" s="23"/>
      <c r="R9" s="24"/>
      <c r="W9" s="18"/>
      <c r="AB9" s="18"/>
    </row>
    <row r="10" customFormat="false" ht="13.8" hidden="false" customHeight="false" outlineLevel="0" collapsed="false">
      <c r="A10" s="15" t="s">
        <v>48</v>
      </c>
      <c r="B10" s="20" t="n">
        <v>953741</v>
      </c>
      <c r="C10" s="17"/>
      <c r="D10" s="18"/>
      <c r="E10" s="19" t="s">
        <v>33</v>
      </c>
      <c r="F10" s="20" t="n">
        <f aca="false">SUM(B11:B15)</f>
        <v>839941</v>
      </c>
      <c r="G10" s="21" t="n">
        <f aca="false">(F10/B10)</f>
        <v>0.88068039436283</v>
      </c>
      <c r="H10" s="18"/>
      <c r="I10" s="22"/>
      <c r="J10" s="15" t="s">
        <v>48</v>
      </c>
      <c r="K10" s="20" t="n">
        <v>953741</v>
      </c>
      <c r="L10" s="23"/>
      <c r="M10" s="18"/>
      <c r="N10" s="19" t="s">
        <v>33</v>
      </c>
      <c r="O10" s="20" t="n">
        <f aca="false">SUM(K11:K15)</f>
        <v>819632</v>
      </c>
      <c r="P10" s="21" t="n">
        <f aca="false">(O10/K10)</f>
        <v>0.859386353318144</v>
      </c>
      <c r="Q10" s="18"/>
      <c r="R10" s="24"/>
      <c r="S10" s="25" t="s">
        <v>34</v>
      </c>
      <c r="T10" s="26" t="s">
        <v>35</v>
      </c>
      <c r="U10" s="18"/>
      <c r="V10" s="42"/>
      <c r="W10" s="18"/>
      <c r="X10" s="18"/>
      <c r="Y10" s="27" t="s">
        <v>36</v>
      </c>
      <c r="Z10" s="28" t="n">
        <f aca="false">SUM(AA11:AA14)</f>
        <v>500362</v>
      </c>
      <c r="AA10" s="29" t="n">
        <f aca="false">(Z10/B10)</f>
        <v>0.524630900842053</v>
      </c>
      <c r="AB10" s="24"/>
    </row>
    <row r="11" customFormat="false" ht="13.8" hidden="false" customHeight="false" outlineLevel="0" collapsed="false">
      <c r="A11" s="43" t="s">
        <v>43</v>
      </c>
      <c r="B11" s="31" t="n">
        <v>417367</v>
      </c>
      <c r="C11" s="32" t="n">
        <f aca="false">(B11/$B$10)</f>
        <v>0.437610420439092</v>
      </c>
      <c r="F11" s="33" t="n">
        <f aca="false">B10-F10-B16</f>
        <v>97829</v>
      </c>
      <c r="G11" s="43" t="s">
        <v>43</v>
      </c>
      <c r="H11" s="31" t="n">
        <v>417367</v>
      </c>
      <c r="I11" s="32" t="n">
        <f aca="false">(H11/$F$10)</f>
        <v>0.496900377526517</v>
      </c>
      <c r="J11" s="43" t="s">
        <v>43</v>
      </c>
      <c r="K11" s="31" t="n">
        <v>436080</v>
      </c>
      <c r="L11" s="32" t="n">
        <f aca="false">(K11/$B$10)</f>
        <v>0.457231051197338</v>
      </c>
      <c r="O11" s="33" t="n">
        <f aca="false">K10-O10-K16</f>
        <v>113366</v>
      </c>
      <c r="P11" s="43" t="s">
        <v>43</v>
      </c>
      <c r="Q11" s="31" t="n">
        <v>436080</v>
      </c>
      <c r="R11" s="32" t="n">
        <f aca="false">(Q11/$O$10)</f>
        <v>0.532043648857048</v>
      </c>
      <c r="S11" s="35" t="n">
        <f aca="false">(V11- 243069)</f>
        <v>175422</v>
      </c>
      <c r="T11" s="44" t="n">
        <f aca="false">(S11/V11)</f>
        <v>0.419177473350681</v>
      </c>
      <c r="U11" s="43" t="s">
        <v>39</v>
      </c>
      <c r="V11" s="31" t="n">
        <v>418491</v>
      </c>
      <c r="W11" s="32" t="n">
        <f aca="false">(V11/$B$10)</f>
        <v>0.438788937457863</v>
      </c>
      <c r="Y11" s="33" t="n">
        <f aca="false">(B10-Z10)-V11</f>
        <v>34888</v>
      </c>
      <c r="Z11" s="43" t="s">
        <v>42</v>
      </c>
      <c r="AA11" s="31" t="n">
        <v>304638</v>
      </c>
      <c r="AB11" s="32" t="n">
        <f aca="false">(AA11/$Z$10)</f>
        <v>0.608835203312802</v>
      </c>
    </row>
    <row r="12" customFormat="false" ht="13.8" hidden="false" customHeight="false" outlineLevel="0" collapsed="false">
      <c r="A12" s="43" t="s">
        <v>49</v>
      </c>
      <c r="B12" s="31" t="n">
        <v>226574</v>
      </c>
      <c r="C12" s="32" t="n">
        <f aca="false">(B12/$B$10)</f>
        <v>0.237563447518771</v>
      </c>
      <c r="G12" s="43" t="s">
        <v>49</v>
      </c>
      <c r="H12" s="31" t="n">
        <v>226574</v>
      </c>
      <c r="I12" s="32" t="n">
        <f aca="false">(H12/$F$10)</f>
        <v>0.269749899100056</v>
      </c>
      <c r="J12" s="43" t="s">
        <v>49</v>
      </c>
      <c r="K12" s="31" t="n">
        <v>220863</v>
      </c>
      <c r="L12" s="32" t="n">
        <f aca="false">(K12/$B$10)</f>
        <v>0.231575448680512</v>
      </c>
      <c r="P12" s="43" t="s">
        <v>49</v>
      </c>
      <c r="Q12" s="31" t="n">
        <v>220863</v>
      </c>
      <c r="R12" s="32" t="n">
        <f aca="false">(Q12/$O$10)</f>
        <v>0.269466053057958</v>
      </c>
      <c r="S12" s="37" t="n">
        <f aca="false">(V12- 157026)</f>
        <v>147612</v>
      </c>
      <c r="T12" s="44" t="n">
        <f aca="false">(S12/V12)</f>
        <v>0.484548874401749</v>
      </c>
      <c r="U12" s="43" t="s">
        <v>42</v>
      </c>
      <c r="V12" s="31" t="n">
        <v>304638</v>
      </c>
      <c r="W12" s="32" t="n">
        <f aca="false">(V12/$B$10)</f>
        <v>0.319413761178349</v>
      </c>
      <c r="Z12" s="43" t="s">
        <v>40</v>
      </c>
      <c r="AA12" s="31" t="n">
        <v>114904</v>
      </c>
      <c r="AB12" s="32" t="n">
        <f aca="false">(AA12/$Z$10)</f>
        <v>0.229641739380688</v>
      </c>
    </row>
    <row r="13" customFormat="false" ht="13.8" hidden="false" customHeight="false" outlineLevel="0" collapsed="false">
      <c r="A13" s="43" t="s">
        <v>50</v>
      </c>
      <c r="B13" s="31" t="n">
        <v>150226</v>
      </c>
      <c r="C13" s="32" t="n">
        <f aca="false">(B13/$B$10)</f>
        <v>0.157512364467922</v>
      </c>
      <c r="G13" s="43" t="s">
        <v>50</v>
      </c>
      <c r="H13" s="31" t="n">
        <v>150226</v>
      </c>
      <c r="I13" s="32" t="n">
        <f aca="false">(H13/$F$10)</f>
        <v>0.178853038487227</v>
      </c>
      <c r="J13" s="43" t="s">
        <v>50</v>
      </c>
      <c r="K13" s="31" t="n">
        <v>109052</v>
      </c>
      <c r="L13" s="32" t="n">
        <f aca="false">(K13/$B$10)</f>
        <v>0.114341314885278</v>
      </c>
      <c r="P13" s="43" t="s">
        <v>50</v>
      </c>
      <c r="Q13" s="31" t="n">
        <v>109052</v>
      </c>
      <c r="R13" s="32" t="n">
        <f aca="false">(Q13/$O$10)</f>
        <v>0.133049954125754</v>
      </c>
      <c r="S13" s="37" t="n">
        <f aca="false">(V13-42306)</f>
        <v>72598</v>
      </c>
      <c r="T13" s="44" t="n">
        <f aca="false">(S13/V13)</f>
        <v>0.631814384181578</v>
      </c>
      <c r="U13" s="43" t="s">
        <v>40</v>
      </c>
      <c r="V13" s="31" t="n">
        <v>114904</v>
      </c>
      <c r="W13" s="32" t="n">
        <f aca="false">(V13/$B$10)</f>
        <v>0.120477152602226</v>
      </c>
      <c r="Z13" s="43" t="s">
        <v>44</v>
      </c>
      <c r="AA13" s="31" t="n">
        <v>53506</v>
      </c>
      <c r="AB13" s="32" t="n">
        <f aca="false">(AA13/$Z$10)</f>
        <v>0.10693457936454</v>
      </c>
    </row>
    <row r="14" customFormat="false" ht="13.8" hidden="false" customHeight="false" outlineLevel="0" collapsed="false">
      <c r="A14" s="43" t="s">
        <v>51</v>
      </c>
      <c r="B14" s="31" t="n">
        <v>25556</v>
      </c>
      <c r="C14" s="32" t="n">
        <f aca="false">(B14/$B$10)</f>
        <v>0.026795534636762</v>
      </c>
      <c r="G14" s="43" t="s">
        <v>51</v>
      </c>
      <c r="H14" s="31" t="n">
        <v>25556</v>
      </c>
      <c r="I14" s="32" t="n">
        <f aca="false">(H14/$F$10)</f>
        <v>0.0304259465843434</v>
      </c>
      <c r="J14" s="45" t="s">
        <v>52</v>
      </c>
      <c r="K14" s="31" t="n">
        <v>28210</v>
      </c>
      <c r="L14" s="32" t="n">
        <f aca="false">(K14/$B$10)</f>
        <v>0.029578260764715</v>
      </c>
      <c r="P14" s="45" t="s">
        <v>52</v>
      </c>
      <c r="Q14" s="31" t="n">
        <v>28210</v>
      </c>
      <c r="R14" s="32" t="n">
        <f aca="false">(Q14/$O$10)</f>
        <v>0.0344178850996545</v>
      </c>
      <c r="S14" s="37" t="n">
        <f aca="false">(V14-4753)</f>
        <v>48753</v>
      </c>
      <c r="T14" s="44" t="n">
        <f aca="false">(S14/V14)</f>
        <v>0.911168840877659</v>
      </c>
      <c r="U14" s="43" t="s">
        <v>44</v>
      </c>
      <c r="V14" s="31" t="n">
        <v>53506</v>
      </c>
      <c r="W14" s="32" t="n">
        <f aca="false">(V14/$B$10)</f>
        <v>0.0561011847031846</v>
      </c>
      <c r="Z14" s="43" t="s">
        <v>53</v>
      </c>
      <c r="AA14" s="31" t="n">
        <v>27314</v>
      </c>
      <c r="AB14" s="32" t="n">
        <f aca="false">(AA14/$Z$10)</f>
        <v>0.05458847794197</v>
      </c>
    </row>
    <row r="15" customFormat="false" ht="13.8" hidden="false" customHeight="false" outlineLevel="0" collapsed="false">
      <c r="A15" s="43" t="s">
        <v>54</v>
      </c>
      <c r="B15" s="31" t="n">
        <v>20218</v>
      </c>
      <c r="C15" s="32" t="n">
        <f aca="false">(B15/$B$10)</f>
        <v>0.0211986273002838</v>
      </c>
      <c r="G15" s="43" t="s">
        <v>54</v>
      </c>
      <c r="H15" s="31" t="n">
        <v>20218</v>
      </c>
      <c r="I15" s="32" t="n">
        <f aca="false">(H15/$F$10)</f>
        <v>0.0240707383018569</v>
      </c>
      <c r="J15" s="43" t="s">
        <v>51</v>
      </c>
      <c r="K15" s="31" t="n">
        <v>25427</v>
      </c>
      <c r="L15" s="32" t="n">
        <f aca="false">(K15/$B$10)</f>
        <v>0.0266602777903016</v>
      </c>
      <c r="P15" s="43" t="s">
        <v>51</v>
      </c>
      <c r="Q15" s="31" t="n">
        <v>25427</v>
      </c>
      <c r="R15" s="32" t="n">
        <f aca="false">(Q15/$O$10)</f>
        <v>0.0310224588595858</v>
      </c>
      <c r="S15" s="37" t="n">
        <f aca="false">(V15-5328)</f>
        <v>21986</v>
      </c>
      <c r="T15" s="44" t="n">
        <f aca="false">(S15/V15)</f>
        <v>0.804935198066925</v>
      </c>
      <c r="U15" s="43" t="s">
        <v>53</v>
      </c>
      <c r="V15" s="31" t="n">
        <v>27314</v>
      </c>
      <c r="W15" s="32" t="n">
        <f aca="false">(V15/$B$10)</f>
        <v>0.0286388023582922</v>
      </c>
      <c r="AB15" s="24"/>
    </row>
    <row r="16" customFormat="false" ht="13.8" hidden="false" customHeight="false" outlineLevel="0" collapsed="false">
      <c r="A16" s="46" t="s">
        <v>37</v>
      </c>
      <c r="B16" s="31" t="n">
        <v>15971</v>
      </c>
      <c r="C16" s="32" t="n">
        <f aca="false">(B16/$B$10)</f>
        <v>0.0167456363939476</v>
      </c>
      <c r="I16" s="22"/>
      <c r="J16" s="43" t="s">
        <v>55</v>
      </c>
      <c r="K16" s="31" t="n">
        <v>20743</v>
      </c>
      <c r="L16" s="32" t="n">
        <f aca="false">(K16/$B$10)</f>
        <v>0.0217490912102971</v>
      </c>
      <c r="P16" s="43" t="s">
        <v>55</v>
      </c>
      <c r="Q16" s="31" t="n">
        <v>20743</v>
      </c>
      <c r="R16" s="32" t="n">
        <f aca="false">(Q16/$O$10)</f>
        <v>0.0253076990649462</v>
      </c>
      <c r="S16" s="39"/>
      <c r="W16" s="18"/>
      <c r="AB16" s="24"/>
    </row>
    <row r="17" customFormat="false" ht="13.8" hidden="false" customHeight="false" outlineLevel="0" collapsed="false">
      <c r="A17" s="39"/>
      <c r="C17" s="17"/>
      <c r="I17" s="22"/>
      <c r="J17" s="39"/>
      <c r="L17" s="23"/>
      <c r="R17" s="24"/>
      <c r="S17" s="39"/>
      <c r="W17" s="18"/>
      <c r="AB17" s="24"/>
    </row>
    <row r="18" customFormat="false" ht="13.8" hidden="false" customHeight="false" outlineLevel="0" collapsed="false">
      <c r="A18" s="15" t="s">
        <v>56</v>
      </c>
      <c r="B18" s="20" t="n">
        <v>459336</v>
      </c>
      <c r="C18" s="17"/>
      <c r="D18" s="18"/>
      <c r="E18" s="18"/>
      <c r="F18" s="18"/>
      <c r="G18" s="17"/>
      <c r="H18" s="18"/>
      <c r="I18" s="22"/>
      <c r="J18" s="15" t="s">
        <v>56</v>
      </c>
      <c r="K18" s="20" t="n">
        <v>459336</v>
      </c>
      <c r="L18" s="23"/>
      <c r="M18" s="18"/>
      <c r="N18" s="18"/>
      <c r="O18" s="18"/>
      <c r="P18" s="17"/>
      <c r="Q18" s="18"/>
      <c r="R18" s="24"/>
      <c r="S18" s="25" t="s">
        <v>34</v>
      </c>
      <c r="T18" s="26" t="s">
        <v>35</v>
      </c>
      <c r="U18" s="18"/>
      <c r="V18" s="42"/>
      <c r="W18" s="18"/>
      <c r="X18" s="18"/>
      <c r="Y18" s="17"/>
      <c r="Z18" s="42"/>
      <c r="AA18" s="17"/>
      <c r="AB18" s="24"/>
    </row>
    <row r="19" customFormat="false" ht="13.8" hidden="false" customHeight="false" outlineLevel="0" collapsed="false">
      <c r="A19" s="47" t="s">
        <v>43</v>
      </c>
      <c r="B19" s="31" t="n">
        <v>238520</v>
      </c>
      <c r="C19" s="32" t="n">
        <f aca="false">(B19/$B$18)</f>
        <v>0.519271295957643</v>
      </c>
      <c r="I19" s="22"/>
      <c r="J19" s="47" t="s">
        <v>43</v>
      </c>
      <c r="K19" s="31" t="n">
        <v>243857</v>
      </c>
      <c r="L19" s="32" t="n">
        <f aca="false">(K19/$B$18)</f>
        <v>0.530890241566087</v>
      </c>
      <c r="R19" s="24"/>
      <c r="S19" s="35" t="n">
        <f aca="false">(V19- 102477)</f>
        <v>188064</v>
      </c>
      <c r="T19" s="44" t="n">
        <f aca="false">(S19/V19)</f>
        <v>0.647289022891778</v>
      </c>
      <c r="U19" s="47" t="s">
        <v>42</v>
      </c>
      <c r="V19" s="31" t="n">
        <v>290541</v>
      </c>
      <c r="W19" s="32" t="n">
        <f aca="false">(V19/$B$18)</f>
        <v>0.632523904070223</v>
      </c>
      <c r="Y19" s="1"/>
      <c r="Z19" s="48"/>
      <c r="AA19" s="49"/>
      <c r="AB19" s="24"/>
    </row>
    <row r="20" customFormat="false" ht="13.8" hidden="false" customHeight="false" outlineLevel="0" collapsed="false">
      <c r="A20" s="47" t="s">
        <v>49</v>
      </c>
      <c r="B20" s="31" t="n">
        <v>102623</v>
      </c>
      <c r="C20" s="32" t="n">
        <f aca="false">(B20/$B$18)</f>
        <v>0.223415974362994</v>
      </c>
      <c r="I20" s="22"/>
      <c r="J20" s="50" t="s">
        <v>49</v>
      </c>
      <c r="K20" s="31" t="n">
        <v>90487</v>
      </c>
      <c r="L20" s="32" t="n">
        <f aca="false">(K20/$B$18)</f>
        <v>0.196995227894178</v>
      </c>
      <c r="R20" s="24"/>
      <c r="S20" s="37" t="n">
        <f aca="false">(V20- 2505)</f>
        <v>31267</v>
      </c>
      <c r="T20" s="44" t="n">
        <f aca="false">(S20/V20)</f>
        <v>0.9258261281535</v>
      </c>
      <c r="U20" s="47" t="s">
        <v>44</v>
      </c>
      <c r="V20" s="31" t="n">
        <v>33772</v>
      </c>
      <c r="W20" s="32" t="n">
        <f aca="false">(V20/$B$18)</f>
        <v>0.0735235209084418</v>
      </c>
      <c r="Y20" s="1"/>
      <c r="Z20" s="48"/>
      <c r="AA20" s="49"/>
      <c r="AB20" s="24"/>
    </row>
    <row r="21" customFormat="false" ht="13.8" hidden="false" customHeight="false" outlineLevel="0" collapsed="false">
      <c r="A21" s="47" t="s">
        <v>50</v>
      </c>
      <c r="B21" s="31" t="n">
        <v>30021</v>
      </c>
      <c r="C21" s="32" t="n">
        <f aca="false">(B21/$B$18)</f>
        <v>0.0653573854433356</v>
      </c>
      <c r="I21" s="22"/>
      <c r="J21" s="50" t="s">
        <v>51</v>
      </c>
      <c r="K21" s="31" t="n">
        <v>20181</v>
      </c>
      <c r="L21" s="32" t="n">
        <f aca="false">(K21/$B$18)</f>
        <v>0.0439351585767281</v>
      </c>
      <c r="R21" s="24"/>
      <c r="S21" s="37" t="n">
        <f aca="false">(V21-4155)</f>
        <v>21308</v>
      </c>
      <c r="T21" s="44" t="n">
        <f aca="false">(S21/V21)</f>
        <v>0.836822055531556</v>
      </c>
      <c r="U21" s="47" t="s">
        <v>40</v>
      </c>
      <c r="V21" s="31" t="n">
        <v>25463</v>
      </c>
      <c r="W21" s="32" t="n">
        <f aca="false">(V21/$B$18)</f>
        <v>0.0554343661284985</v>
      </c>
      <c r="Y21" s="1"/>
      <c r="Z21" s="48"/>
      <c r="AA21" s="49"/>
      <c r="AB21" s="24"/>
    </row>
    <row r="22" customFormat="false" ht="13.8" hidden="false" customHeight="false" outlineLevel="0" collapsed="false">
      <c r="A22" s="47" t="s">
        <v>51</v>
      </c>
      <c r="B22" s="31" t="n">
        <v>21153</v>
      </c>
      <c r="C22" s="32" t="n">
        <f aca="false">(B22/$B$18)</f>
        <v>0.0460512565964784</v>
      </c>
      <c r="I22" s="22"/>
      <c r="J22" s="50" t="s">
        <v>55</v>
      </c>
      <c r="K22" s="31" t="n">
        <v>16917</v>
      </c>
      <c r="L22" s="32" t="n">
        <f aca="false">(K22/$B$18)</f>
        <v>0.036829249177073</v>
      </c>
      <c r="R22" s="24"/>
      <c r="S22" s="37" t="n">
        <f aca="false">(V22-1642)</f>
        <v>23402</v>
      </c>
      <c r="T22" s="44" t="n">
        <f aca="false">(S22/V22)</f>
        <v>0.934435393707076</v>
      </c>
      <c r="U22" s="47" t="s">
        <v>53</v>
      </c>
      <c r="V22" s="31" t="n">
        <v>25044</v>
      </c>
      <c r="W22" s="32" t="n">
        <f aca="false">(V22/$B$18)</f>
        <v>0.054522179842207</v>
      </c>
      <c r="Y22" s="1"/>
      <c r="Z22" s="48"/>
      <c r="AA22" s="49"/>
      <c r="AB22" s="24"/>
    </row>
    <row r="23" customFormat="false" ht="13.8" hidden="false" customHeight="false" outlineLevel="0" collapsed="false">
      <c r="A23" s="47" t="s">
        <v>55</v>
      </c>
      <c r="B23" s="31" t="n">
        <v>11826</v>
      </c>
      <c r="C23" s="32" t="n">
        <f aca="false">(B23/$B$18)</f>
        <v>0.0257458592402947</v>
      </c>
      <c r="I23" s="22"/>
      <c r="J23" s="51" t="s">
        <v>52</v>
      </c>
      <c r="K23" s="31" t="n">
        <v>16521</v>
      </c>
      <c r="L23" s="32" t="n">
        <f aca="false">(K23/$B$18)</f>
        <v>0.0359671351690266</v>
      </c>
      <c r="R23" s="24"/>
      <c r="S23" s="37" t="n">
        <f aca="false">(V23-566)</f>
        <v>23339</v>
      </c>
      <c r="T23" s="44" t="n">
        <f aca="false">(S23/V23)</f>
        <v>0.976322944990588</v>
      </c>
      <c r="U23" s="47" t="s">
        <v>57</v>
      </c>
      <c r="V23" s="31" t="n">
        <v>23905</v>
      </c>
      <c r="W23" s="32" t="n">
        <f aca="false">(V23/$B$18)</f>
        <v>0.0520425135412857</v>
      </c>
      <c r="AB23" s="24"/>
    </row>
    <row r="24" customFormat="false" ht="14.15" hidden="false" customHeight="true" outlineLevel="0" collapsed="false">
      <c r="A24" s="52" t="s">
        <v>52</v>
      </c>
      <c r="B24" s="31" t="n">
        <v>11609</v>
      </c>
      <c r="C24" s="32" t="n">
        <f aca="false">(B24/$B$18)</f>
        <v>0.0252734381803299</v>
      </c>
      <c r="I24" s="22"/>
      <c r="J24" s="51" t="s">
        <v>58</v>
      </c>
      <c r="K24" s="31" t="n">
        <v>15488</v>
      </c>
      <c r="L24" s="32" t="n">
        <f aca="false">(K24/$B$18)</f>
        <v>0.033718236759148</v>
      </c>
      <c r="R24" s="24"/>
      <c r="S24" s="39"/>
      <c r="W24" s="18"/>
      <c r="AB24" s="24"/>
    </row>
    <row r="25" customFormat="false" ht="13.8" hidden="false" customHeight="false" outlineLevel="0" collapsed="false">
      <c r="A25" s="39"/>
      <c r="C25" s="17"/>
      <c r="I25" s="22"/>
      <c r="J25" s="39"/>
      <c r="L25" s="23"/>
      <c r="R25" s="24"/>
      <c r="S25" s="39"/>
      <c r="W25" s="18"/>
      <c r="AB25" s="24"/>
    </row>
    <row r="26" customFormat="false" ht="13.8" hidden="false" customHeight="false" outlineLevel="0" collapsed="false">
      <c r="A26" s="15" t="s">
        <v>59</v>
      </c>
      <c r="B26" s="20" t="n">
        <v>602856</v>
      </c>
      <c r="C26" s="17"/>
      <c r="D26" s="18"/>
      <c r="E26" s="19" t="s">
        <v>33</v>
      </c>
      <c r="F26" s="20" t="n">
        <f aca="false">SUM(B28:B32)</f>
        <v>2106</v>
      </c>
      <c r="G26" s="21" t="n">
        <f aca="false">(F26/B26)</f>
        <v>0.00349337155141526</v>
      </c>
      <c r="H26" s="18"/>
      <c r="I26" s="22"/>
      <c r="J26" s="15" t="s">
        <v>59</v>
      </c>
      <c r="K26" s="20" t="n">
        <v>602856</v>
      </c>
      <c r="L26" s="23"/>
      <c r="M26" s="18"/>
      <c r="N26" s="19" t="s">
        <v>33</v>
      </c>
      <c r="O26" s="20" t="n">
        <f aca="false">SUM(K28:K32)</f>
        <v>2106</v>
      </c>
      <c r="P26" s="21" t="n">
        <f aca="false">(O26/K26)</f>
        <v>0.00349337155141526</v>
      </c>
      <c r="Q26" s="18"/>
      <c r="R26" s="24"/>
      <c r="S26" s="25" t="s">
        <v>34</v>
      </c>
      <c r="T26" s="26" t="s">
        <v>35</v>
      </c>
      <c r="U26" s="18"/>
      <c r="V26" s="42"/>
      <c r="W26" s="18"/>
      <c r="X26" s="18"/>
      <c r="Y26" s="27" t="s">
        <v>36</v>
      </c>
      <c r="Z26" s="28" t="n">
        <f aca="false">SUM(AA27:AA30)</f>
        <v>75087</v>
      </c>
      <c r="AA26" s="29" t="n">
        <f aca="false">(Z26/B26)</f>
        <v>0.124552131852383</v>
      </c>
      <c r="AB26" s="24"/>
    </row>
    <row r="27" customFormat="false" ht="13.8" hidden="false" customHeight="false" outlineLevel="0" collapsed="false">
      <c r="A27" s="53" t="s">
        <v>60</v>
      </c>
      <c r="B27" s="31" t="n">
        <v>600603</v>
      </c>
      <c r="C27" s="32" t="n">
        <f aca="false">(B27/$B$26)</f>
        <v>0.996262789123771</v>
      </c>
      <c r="F27" s="33" t="n">
        <f aca="false">(B26-B27-F26)</f>
        <v>147</v>
      </c>
      <c r="G27" s="53" t="s">
        <v>45</v>
      </c>
      <c r="H27" s="31" t="n">
        <v>1504</v>
      </c>
      <c r="I27" s="32" t="n">
        <f aca="false">(H27/$F$26)</f>
        <v>0.714150047483381</v>
      </c>
      <c r="J27" s="53" t="s">
        <v>60</v>
      </c>
      <c r="K27" s="31" t="n">
        <v>600603</v>
      </c>
      <c r="L27" s="32" t="n">
        <f aca="false">(K27/$B$26)</f>
        <v>0.996262789123771</v>
      </c>
      <c r="O27" s="33" t="n">
        <f aca="false">(K26-K27-O26)</f>
        <v>147</v>
      </c>
      <c r="P27" s="53" t="s">
        <v>45</v>
      </c>
      <c r="Q27" s="31" t="n">
        <v>1502</v>
      </c>
      <c r="R27" s="32" t="n">
        <f aca="false">(Q27/$O$26)</f>
        <v>0.713200379867047</v>
      </c>
      <c r="S27" s="35" t="n">
        <f aca="false">(V27- 455200)</f>
        <v>70737</v>
      </c>
      <c r="T27" s="44" t="n">
        <f aca="false">(S27/V27)</f>
        <v>0.134497097561115</v>
      </c>
      <c r="U27" s="53" t="s">
        <v>39</v>
      </c>
      <c r="V27" s="31" t="n">
        <v>525937</v>
      </c>
      <c r="W27" s="32" t="n">
        <f aca="false">(V27/$B$26)</f>
        <v>0.872408999827488</v>
      </c>
      <c r="Y27" s="33" t="n">
        <f aca="false">(B26-Z26) -V27</f>
        <v>1832</v>
      </c>
      <c r="Z27" s="53" t="s">
        <v>40</v>
      </c>
      <c r="AA27" s="31" t="n">
        <v>42875</v>
      </c>
      <c r="AB27" s="32" t="n">
        <f aca="false">(AA27/$Z$26)</f>
        <v>0.571004301676722</v>
      </c>
    </row>
    <row r="28" customFormat="false" ht="13.8" hidden="false" customHeight="false" outlineLevel="0" collapsed="false">
      <c r="A28" s="53" t="s">
        <v>45</v>
      </c>
      <c r="B28" s="31" t="n">
        <v>1504</v>
      </c>
      <c r="C28" s="32" t="n">
        <f aca="false">(B28/$B$26)</f>
        <v>0.0024947914593203</v>
      </c>
      <c r="G28" s="53" t="s">
        <v>50</v>
      </c>
      <c r="H28" s="31" t="n">
        <v>387</v>
      </c>
      <c r="I28" s="32" t="n">
        <f aca="false">(H28/$F$26)</f>
        <v>0.183760683760684</v>
      </c>
      <c r="J28" s="53" t="s">
        <v>45</v>
      </c>
      <c r="K28" s="31" t="n">
        <v>1502</v>
      </c>
      <c r="L28" s="32" t="n">
        <f aca="false">(K28/$B$26)</f>
        <v>0.0024914739174861</v>
      </c>
      <c r="P28" s="53" t="s">
        <v>50</v>
      </c>
      <c r="Q28" s="31" t="n">
        <v>386</v>
      </c>
      <c r="R28" s="32" t="n">
        <f aca="false">(Q28/$O$26)</f>
        <v>0.183285849952517</v>
      </c>
      <c r="S28" s="37" t="n">
        <f aca="false">(V28- 30227)</f>
        <v>12648</v>
      </c>
      <c r="T28" s="44" t="n">
        <f aca="false">(S28/V28)</f>
        <v>0.294997084548105</v>
      </c>
      <c r="U28" s="53" t="s">
        <v>40</v>
      </c>
      <c r="V28" s="31" t="n">
        <v>42875</v>
      </c>
      <c r="W28" s="32" t="n">
        <f aca="false">(V28/$B$26)</f>
        <v>0.0711198030707167</v>
      </c>
      <c r="Z28" s="53" t="s">
        <v>42</v>
      </c>
      <c r="AA28" s="31" t="n">
        <v>26638</v>
      </c>
      <c r="AB28" s="32" t="n">
        <f aca="false">(AA28/$Z$26)</f>
        <v>0.354761809634158</v>
      </c>
    </row>
    <row r="29" customFormat="false" ht="13.8" hidden="false" customHeight="false" outlineLevel="0" collapsed="false">
      <c r="A29" s="53" t="s">
        <v>50</v>
      </c>
      <c r="B29" s="31" t="n">
        <v>387</v>
      </c>
      <c r="C29" s="32" t="n">
        <f aca="false">(B29/$B$26)</f>
        <v>0.000641944344918189</v>
      </c>
      <c r="G29" s="53" t="s">
        <v>49</v>
      </c>
      <c r="H29" s="31" t="n">
        <v>122</v>
      </c>
      <c r="I29" s="32" t="n">
        <f aca="false">(H29/$F$26)</f>
        <v>0.0579297245963913</v>
      </c>
      <c r="J29" s="53" t="s">
        <v>50</v>
      </c>
      <c r="K29" s="31" t="n">
        <v>386</v>
      </c>
      <c r="L29" s="32" t="n">
        <f aca="false">(K29/$B$26)</f>
        <v>0.000640285574001088</v>
      </c>
      <c r="P29" s="53" t="s">
        <v>49</v>
      </c>
      <c r="Q29" s="31" t="n">
        <v>123</v>
      </c>
      <c r="R29" s="32" t="n">
        <f aca="false">(Q29/$O$26)</f>
        <v>0.0584045584045584</v>
      </c>
      <c r="S29" s="37" t="n">
        <f aca="false">(V29-24200)</f>
        <v>2438</v>
      </c>
      <c r="T29" s="44" t="n">
        <f aca="false">(S29/V29)</f>
        <v>0.0915233876417149</v>
      </c>
      <c r="U29" s="53" t="s">
        <v>42</v>
      </c>
      <c r="V29" s="31" t="n">
        <v>26638</v>
      </c>
      <c r="W29" s="32" t="n">
        <f aca="false">(V29/$B$26)</f>
        <v>0.0441863396897435</v>
      </c>
      <c r="Z29" s="53" t="s">
        <v>44</v>
      </c>
      <c r="AA29" s="31" t="n">
        <v>4260</v>
      </c>
      <c r="AB29" s="32" t="n">
        <f aca="false">(AA29/$Z$26)</f>
        <v>0.0567341883415238</v>
      </c>
    </row>
    <row r="30" customFormat="false" ht="13.8" hidden="false" customHeight="false" outlineLevel="0" collapsed="false">
      <c r="A30" s="53" t="s">
        <v>49</v>
      </c>
      <c r="B30" s="31" t="n">
        <v>122</v>
      </c>
      <c r="C30" s="32" t="n">
        <f aca="false">(B30/$B$26)</f>
        <v>0.000202370051886354</v>
      </c>
      <c r="G30" s="53" t="s">
        <v>43</v>
      </c>
      <c r="H30" s="31" t="n">
        <v>61</v>
      </c>
      <c r="I30" s="32" t="n">
        <f aca="false">(H30/$F$26)</f>
        <v>0.0289648622981956</v>
      </c>
      <c r="J30" s="53" t="s">
        <v>49</v>
      </c>
      <c r="K30" s="31" t="n">
        <v>123</v>
      </c>
      <c r="L30" s="32" t="n">
        <f aca="false">(K30/$B$26)</f>
        <v>0.000204028822803456</v>
      </c>
      <c r="P30" s="53" t="s">
        <v>43</v>
      </c>
      <c r="Q30" s="31" t="n">
        <v>63</v>
      </c>
      <c r="R30" s="32" t="n">
        <f aca="false">(Q30/$O$26)</f>
        <v>0.0299145299145299</v>
      </c>
      <c r="S30" s="37" t="n">
        <f aca="false">(V30-1358)</f>
        <v>2902</v>
      </c>
      <c r="T30" s="44" t="n">
        <f aca="false">(S30/V30)</f>
        <v>0.681220657276995</v>
      </c>
      <c r="U30" s="53" t="s">
        <v>44</v>
      </c>
      <c r="V30" s="31" t="n">
        <v>4260</v>
      </c>
      <c r="W30" s="32" t="n">
        <f aca="false">(V30/$B$26)</f>
        <v>0.00706636410685139</v>
      </c>
      <c r="Z30" s="53" t="s">
        <v>46</v>
      </c>
      <c r="AA30" s="31" t="n">
        <v>1314</v>
      </c>
      <c r="AB30" s="32" t="n">
        <f aca="false">(AA30/$Z$26)</f>
        <v>0.0174997003475968</v>
      </c>
    </row>
    <row r="31" customFormat="false" ht="13.8" hidden="false" customHeight="false" outlineLevel="0" collapsed="false">
      <c r="A31" s="53" t="s">
        <v>43</v>
      </c>
      <c r="B31" s="31" t="n">
        <v>61</v>
      </c>
      <c r="C31" s="32" t="n">
        <f aca="false">(B31/$B$26)</f>
        <v>0.000101185025943177</v>
      </c>
      <c r="G31" s="53" t="s">
        <v>47</v>
      </c>
      <c r="H31" s="38" t="n">
        <v>32</v>
      </c>
      <c r="I31" s="32" t="n">
        <f aca="false">(H31/$F$26)</f>
        <v>0.0151946818613485</v>
      </c>
      <c r="J31" s="53" t="s">
        <v>43</v>
      </c>
      <c r="K31" s="31" t="n">
        <v>63</v>
      </c>
      <c r="L31" s="32" t="n">
        <f aca="false">(K31/$B$26)</f>
        <v>0.00010450256777738</v>
      </c>
      <c r="P31" s="53" t="s">
        <v>47</v>
      </c>
      <c r="Q31" s="38" t="n">
        <v>32</v>
      </c>
      <c r="R31" s="32" t="n">
        <f aca="false">(Q31/$O$26)</f>
        <v>0.0151946818613485</v>
      </c>
      <c r="S31" s="37" t="n">
        <f aca="false">(V31-957)</f>
        <v>357</v>
      </c>
      <c r="T31" s="44" t="n">
        <f aca="false">(S31/V31)</f>
        <v>0.271689497716895</v>
      </c>
      <c r="U31" s="53" t="s">
        <v>46</v>
      </c>
      <c r="V31" s="31" t="n">
        <v>1314</v>
      </c>
      <c r="W31" s="32" t="n">
        <f aca="false">(V31/$B$26)</f>
        <v>0.00217962498507106</v>
      </c>
      <c r="AB31" s="24"/>
    </row>
    <row r="32" customFormat="false" ht="13.8" hidden="false" customHeight="false" outlineLevel="0" collapsed="false">
      <c r="A32" s="53" t="s">
        <v>47</v>
      </c>
      <c r="B32" s="38" t="n">
        <v>32</v>
      </c>
      <c r="C32" s="32" t="n">
        <f aca="false">(B32/$B$26)</f>
        <v>5.30806693472405E-005</v>
      </c>
      <c r="I32" s="22"/>
      <c r="J32" s="53" t="s">
        <v>47</v>
      </c>
      <c r="K32" s="38" t="n">
        <v>32</v>
      </c>
      <c r="L32" s="32" t="n">
        <f aca="false">(K32/$B$26)</f>
        <v>5.30806693472405E-005</v>
      </c>
      <c r="R32" s="24"/>
      <c r="S32" s="39"/>
      <c r="W32" s="18"/>
      <c r="AB32" s="24"/>
    </row>
    <row r="33" customFormat="false" ht="13.8" hidden="false" customHeight="false" outlineLevel="0" collapsed="false">
      <c r="A33" s="39"/>
      <c r="C33" s="17"/>
      <c r="I33" s="22"/>
      <c r="J33" s="39"/>
      <c r="L33" s="23"/>
      <c r="R33" s="24"/>
      <c r="S33" s="39"/>
      <c r="W33" s="18"/>
      <c r="AB33" s="24"/>
    </row>
    <row r="34" customFormat="false" ht="13.8" hidden="false" customHeight="false" outlineLevel="0" collapsed="false">
      <c r="A34" s="15" t="s">
        <v>61</v>
      </c>
      <c r="B34" s="20" t="n">
        <v>897424</v>
      </c>
      <c r="C34" s="17"/>
      <c r="D34" s="18"/>
      <c r="E34" s="19" t="s">
        <v>33</v>
      </c>
      <c r="F34" s="20" t="n">
        <f aca="false">SUM(B35,B36,B38,B39,B40)</f>
        <v>683177</v>
      </c>
      <c r="G34" s="21" t="n">
        <f aca="false">(F34/B34)</f>
        <v>0.761264463620318</v>
      </c>
      <c r="H34" s="18"/>
      <c r="I34" s="22"/>
      <c r="J34" s="15" t="s">
        <v>61</v>
      </c>
      <c r="K34" s="20" t="n">
        <v>897424</v>
      </c>
      <c r="L34" s="23"/>
      <c r="M34" s="18"/>
      <c r="N34" s="19" t="s">
        <v>33</v>
      </c>
      <c r="O34" s="20" t="n">
        <f aca="false">SUM(K35,K36,K38,K39,K40)</f>
        <v>679100</v>
      </c>
      <c r="P34" s="21" t="n">
        <f aca="false">(O34/K34)</f>
        <v>0.756721460535934</v>
      </c>
      <c r="Q34" s="18"/>
      <c r="R34" s="24"/>
      <c r="S34" s="25" t="s">
        <v>34</v>
      </c>
      <c r="T34" s="26" t="s">
        <v>35</v>
      </c>
      <c r="U34" s="18"/>
      <c r="V34" s="42"/>
      <c r="W34" s="18"/>
      <c r="X34" s="18"/>
      <c r="Y34" s="27" t="s">
        <v>36</v>
      </c>
      <c r="Z34" s="28" t="n">
        <f aca="false">SUM(AA35:AA38)</f>
        <v>230344</v>
      </c>
      <c r="AA34" s="29" t="n">
        <f aca="false">(Z34/B34)</f>
        <v>0.256672431314518</v>
      </c>
      <c r="AB34" s="24"/>
    </row>
    <row r="35" customFormat="false" ht="13.8" hidden="false" customHeight="false" outlineLevel="0" collapsed="false">
      <c r="A35" s="50" t="s">
        <v>50</v>
      </c>
      <c r="B35" s="31" t="n">
        <v>324710</v>
      </c>
      <c r="C35" s="32" t="n">
        <f aca="false">(B35/$B$34)</f>
        <v>0.361824511044946</v>
      </c>
      <c r="F35" s="33" t="n">
        <f aca="false">(B34-F34) -B37</f>
        <v>66611</v>
      </c>
      <c r="G35" s="50" t="s">
        <v>50</v>
      </c>
      <c r="H35" s="31" t="n">
        <v>324710</v>
      </c>
      <c r="I35" s="32" t="n">
        <f aca="false">(H35/$F$34)</f>
        <v>0.475294103870593</v>
      </c>
      <c r="J35" s="50" t="s">
        <v>50</v>
      </c>
      <c r="K35" s="31" t="n">
        <v>312367</v>
      </c>
      <c r="L35" s="32" t="n">
        <f aca="false">(K35/$B$34)</f>
        <v>0.348070700137282</v>
      </c>
      <c r="O35" s="33" t="n">
        <f aca="false">(K34-O34) -K37</f>
        <v>70688</v>
      </c>
      <c r="P35" s="50" t="s">
        <v>50</v>
      </c>
      <c r="Q35" s="31" t="n">
        <v>312367</v>
      </c>
      <c r="R35" s="32" t="n">
        <f aca="false">(Q35/$O$34)</f>
        <v>0.45997202179355</v>
      </c>
      <c r="S35" s="35" t="n">
        <f aca="false">(V35- 474862)</f>
        <v>172164</v>
      </c>
      <c r="T35" s="44" t="n">
        <f aca="false">(S35/V35)</f>
        <v>0.266085134136804</v>
      </c>
      <c r="U35" s="50" t="s">
        <v>39</v>
      </c>
      <c r="V35" s="31" t="n">
        <v>647026</v>
      </c>
      <c r="W35" s="32" t="n">
        <f aca="false">(V35/$B$34)</f>
        <v>0.72098138672467</v>
      </c>
      <c r="Y35" s="33" t="n">
        <f aca="false">(B34-Z34) -V35</f>
        <v>20054</v>
      </c>
      <c r="Z35" s="50" t="s">
        <v>42</v>
      </c>
      <c r="AA35" s="31" t="n">
        <v>112457</v>
      </c>
      <c r="AB35" s="32" t="n">
        <f aca="false">(AA35/$Z$34)</f>
        <v>0.4882132810058</v>
      </c>
    </row>
    <row r="36" customFormat="false" ht="13.8" hidden="false" customHeight="false" outlineLevel="0" collapsed="false">
      <c r="A36" s="50" t="s">
        <v>49</v>
      </c>
      <c r="B36" s="31" t="n">
        <v>201662</v>
      </c>
      <c r="C36" s="32" t="n">
        <f aca="false">(B36/$B$34)</f>
        <v>0.22471206475423</v>
      </c>
      <c r="F36" s="1"/>
      <c r="G36" s="50" t="s">
        <v>49</v>
      </c>
      <c r="H36" s="31" t="n">
        <v>201662</v>
      </c>
      <c r="I36" s="32" t="n">
        <f aca="false">(H36/$F$34)</f>
        <v>0.295182653982789</v>
      </c>
      <c r="J36" s="50" t="s">
        <v>49</v>
      </c>
      <c r="K36" s="31" t="n">
        <v>206376</v>
      </c>
      <c r="L36" s="32" t="n">
        <f aca="false">(K36/$B$34)</f>
        <v>0.229964877248658</v>
      </c>
      <c r="O36" s="1"/>
      <c r="P36" s="50" t="s">
        <v>49</v>
      </c>
      <c r="Q36" s="31" t="n">
        <v>206376</v>
      </c>
      <c r="R36" s="32" t="n">
        <f aca="false">(Q36/$O$34)</f>
        <v>0.303896333382418</v>
      </c>
      <c r="S36" s="37" t="n">
        <f aca="false">(V36- 81199)</f>
        <v>31258</v>
      </c>
      <c r="T36" s="44" t="n">
        <f aca="false">(S36/V36)</f>
        <v>0.277955129516171</v>
      </c>
      <c r="U36" s="50" t="s">
        <v>42</v>
      </c>
      <c r="V36" s="31" t="n">
        <v>112457</v>
      </c>
      <c r="W36" s="32" t="n">
        <f aca="false">(V36/$B$34)</f>
        <v>0.125310889835797</v>
      </c>
      <c r="Z36" s="50" t="s">
        <v>40</v>
      </c>
      <c r="AA36" s="31" t="n">
        <v>92201</v>
      </c>
      <c r="AB36" s="32" t="n">
        <f aca="false">(AA36/$Z$34)</f>
        <v>0.400275240509846</v>
      </c>
    </row>
    <row r="37" customFormat="false" ht="13.8" hidden="false" customHeight="false" outlineLevel="0" collapsed="false">
      <c r="A37" s="50" t="s">
        <v>62</v>
      </c>
      <c r="B37" s="31" t="n">
        <v>147636</v>
      </c>
      <c r="C37" s="32" t="n">
        <f aca="false">(B37/$B$34)</f>
        <v>0.164510866658347</v>
      </c>
      <c r="G37" s="50" t="s">
        <v>43</v>
      </c>
      <c r="H37" s="31" t="n">
        <v>118829</v>
      </c>
      <c r="I37" s="32" t="n">
        <f aca="false">(H37/$F$34)</f>
        <v>0.173935890698896</v>
      </c>
      <c r="J37" s="50" t="s">
        <v>62</v>
      </c>
      <c r="K37" s="31" t="n">
        <v>147636</v>
      </c>
      <c r="L37" s="32" t="n">
        <f aca="false">(K37/$B$34)</f>
        <v>0.164510866658347</v>
      </c>
      <c r="P37" s="50" t="s">
        <v>43</v>
      </c>
      <c r="Q37" s="31" t="n">
        <v>128193</v>
      </c>
      <c r="R37" s="32" t="n">
        <f aca="false">(Q37/$O$34)</f>
        <v>0.188768958916213</v>
      </c>
      <c r="S37" s="37" t="n">
        <f aca="false">(V37-57076)</f>
        <v>35125</v>
      </c>
      <c r="T37" s="44" t="n">
        <f aca="false">(S37/V37)</f>
        <v>0.380961160941855</v>
      </c>
      <c r="U37" s="50" t="s">
        <v>40</v>
      </c>
      <c r="V37" s="31" t="n">
        <v>92201</v>
      </c>
      <c r="W37" s="32" t="n">
        <f aca="false">(V37/$B$34)</f>
        <v>0.102739619176666</v>
      </c>
      <c r="Z37" s="50" t="s">
        <v>44</v>
      </c>
      <c r="AA37" s="31" t="n">
        <v>19081</v>
      </c>
      <c r="AB37" s="32" t="n">
        <f aca="false">(AA37/$Z$34)</f>
        <v>0.0828369742645782</v>
      </c>
    </row>
    <row r="38" customFormat="false" ht="13.8" hidden="false" customHeight="false" outlineLevel="0" collapsed="false">
      <c r="A38" s="50" t="s">
        <v>43</v>
      </c>
      <c r="B38" s="31" t="n">
        <v>118829</v>
      </c>
      <c r="C38" s="32" t="n">
        <f aca="false">(B38/$B$34)</f>
        <v>0.132411212537218</v>
      </c>
      <c r="G38" s="50" t="s">
        <v>45</v>
      </c>
      <c r="H38" s="31" t="n">
        <v>19129</v>
      </c>
      <c r="I38" s="32" t="n">
        <f aca="false">(H38/$F$34)</f>
        <v>0.0280000644049785</v>
      </c>
      <c r="J38" s="50" t="s">
        <v>43</v>
      </c>
      <c r="K38" s="31" t="n">
        <v>128193</v>
      </c>
      <c r="L38" s="32" t="n">
        <f aca="false">(K38/$B$34)</f>
        <v>0.142845522294924</v>
      </c>
      <c r="P38" s="50" t="s">
        <v>45</v>
      </c>
      <c r="Q38" s="31" t="n">
        <v>18054</v>
      </c>
      <c r="R38" s="32" t="n">
        <f aca="false">(Q38/$O$34)</f>
        <v>0.0265851862759535</v>
      </c>
      <c r="S38" s="37" t="n">
        <f aca="false">(V38-3393)</f>
        <v>15688</v>
      </c>
      <c r="T38" s="44" t="n">
        <f aca="false">(S38/V38)</f>
        <v>0.822179131072795</v>
      </c>
      <c r="U38" s="50" t="s">
        <v>44</v>
      </c>
      <c r="V38" s="31" t="n">
        <v>19081</v>
      </c>
      <c r="W38" s="32" t="n">
        <f aca="false">(V38/$B$34)</f>
        <v>0.0212619675872274</v>
      </c>
      <c r="Z38" s="50" t="s">
        <v>53</v>
      </c>
      <c r="AA38" s="31" t="n">
        <v>6605</v>
      </c>
      <c r="AB38" s="32" t="n">
        <f aca="false">(AA38/$Z$34)</f>
        <v>0.0286745042197756</v>
      </c>
    </row>
    <row r="39" customFormat="false" ht="13.8" hidden="false" customHeight="false" outlineLevel="0" collapsed="false">
      <c r="A39" s="50" t="s">
        <v>45</v>
      </c>
      <c r="B39" s="31" t="n">
        <v>19129</v>
      </c>
      <c r="C39" s="32" t="n">
        <f aca="false">(B39/$B$34)</f>
        <v>0.0213154540105903</v>
      </c>
      <c r="G39" s="50" t="s">
        <v>47</v>
      </c>
      <c r="H39" s="34" t="n">
        <v>18847</v>
      </c>
      <c r="I39" s="32" t="n">
        <f aca="false">(H39/$F$34)</f>
        <v>0.027587287042743</v>
      </c>
      <c r="J39" s="50" t="s">
        <v>45</v>
      </c>
      <c r="K39" s="31" t="n">
        <v>18054</v>
      </c>
      <c r="L39" s="32" t="n">
        <f aca="false">(K39/$B$34)</f>
        <v>0.0201175809873594</v>
      </c>
      <c r="P39" s="50" t="s">
        <v>47</v>
      </c>
      <c r="Q39" s="34" t="n">
        <v>14110</v>
      </c>
      <c r="R39" s="32" t="n">
        <f aca="false">(Q39/$O$34)</f>
        <v>0.0207774996318657</v>
      </c>
      <c r="S39" s="37" t="n">
        <f aca="false">(V39-2561)</f>
        <v>4044</v>
      </c>
      <c r="T39" s="44" t="n">
        <f aca="false">(S39/V39)</f>
        <v>0.61226343679031</v>
      </c>
      <c r="U39" s="50" t="s">
        <v>53</v>
      </c>
      <c r="V39" s="31" t="n">
        <v>6605</v>
      </c>
      <c r="W39" s="32" t="n">
        <f aca="false">(V39/$B$34)</f>
        <v>0.00735995471482822</v>
      </c>
      <c r="AB39" s="24"/>
    </row>
    <row r="40" customFormat="false" ht="13.8" hidden="false" customHeight="false" outlineLevel="0" collapsed="false">
      <c r="A40" s="50" t="s">
        <v>47</v>
      </c>
      <c r="B40" s="34" t="n">
        <v>18847</v>
      </c>
      <c r="C40" s="32" t="n">
        <f aca="false">(B40/$B$34)</f>
        <v>0.0210012212733335</v>
      </c>
      <c r="I40" s="22"/>
      <c r="J40" s="50" t="s">
        <v>47</v>
      </c>
      <c r="K40" s="34" t="n">
        <v>14110</v>
      </c>
      <c r="L40" s="32" t="n">
        <f aca="false">(K40/$B$34)</f>
        <v>0.0157227798677102</v>
      </c>
      <c r="R40" s="24"/>
      <c r="S40" s="39"/>
      <c r="W40" s="18"/>
      <c r="AB40" s="24"/>
    </row>
    <row r="41" customFormat="false" ht="13.8" hidden="false" customHeight="false" outlineLevel="0" collapsed="false">
      <c r="A41" s="39"/>
      <c r="C41" s="17"/>
      <c r="I41" s="22"/>
      <c r="J41" s="39"/>
      <c r="L41" s="23"/>
      <c r="R41" s="24"/>
      <c r="S41" s="39"/>
      <c r="W41" s="18"/>
      <c r="AB41" s="24"/>
    </row>
    <row r="42" customFormat="false" ht="13.8" hidden="false" customHeight="false" outlineLevel="0" collapsed="false">
      <c r="A42" s="15" t="s">
        <v>63</v>
      </c>
      <c r="B42" s="20" t="n">
        <v>202574</v>
      </c>
      <c r="C42" s="17"/>
      <c r="D42" s="18"/>
      <c r="E42" s="19" t="s">
        <v>33</v>
      </c>
      <c r="F42" s="20" t="n">
        <f aca="false">SUM(B48,B43,B44,B45,B47)</f>
        <v>170922</v>
      </c>
      <c r="G42" s="21" t="n">
        <f aca="false">(F42/B42)</f>
        <v>0.843750925587687</v>
      </c>
      <c r="H42" s="18"/>
      <c r="I42" s="22"/>
      <c r="J42" s="15" t="s">
        <v>63</v>
      </c>
      <c r="K42" s="20" t="n">
        <v>202574</v>
      </c>
      <c r="L42" s="23"/>
      <c r="M42" s="18"/>
      <c r="N42" s="19" t="s">
        <v>33</v>
      </c>
      <c r="O42" s="20" t="n">
        <f aca="false">SUM(K48,K43,K44,K45,K47)</f>
        <v>169884</v>
      </c>
      <c r="P42" s="21" t="n">
        <f aca="false">(O42/K42)</f>
        <v>0.838626872155361</v>
      </c>
      <c r="Q42" s="18"/>
      <c r="R42" s="24"/>
      <c r="S42" s="25" t="s">
        <v>34</v>
      </c>
      <c r="T42" s="26" t="s">
        <v>35</v>
      </c>
      <c r="U42" s="18"/>
      <c r="V42" s="42"/>
      <c r="W42" s="18"/>
      <c r="X42" s="18"/>
      <c r="Y42" s="27" t="s">
        <v>36</v>
      </c>
      <c r="Z42" s="28" t="n">
        <f aca="false">SUM(AA43:AA46)</f>
        <v>60241</v>
      </c>
      <c r="AA42" s="29" t="n">
        <f aca="false">(Z42/B42)</f>
        <v>0.29737774837837</v>
      </c>
      <c r="AB42" s="24"/>
    </row>
    <row r="43" customFormat="false" ht="13.8" hidden="false" customHeight="false" outlineLevel="0" collapsed="false">
      <c r="A43" s="54" t="s">
        <v>50</v>
      </c>
      <c r="B43" s="31" t="n">
        <v>84068</v>
      </c>
      <c r="C43" s="32" t="n">
        <f aca="false">(B43/$B$42)</f>
        <v>0.414998963341791</v>
      </c>
      <c r="F43" s="33" t="n">
        <f aca="false">(B42-F42) -B46</f>
        <v>13611</v>
      </c>
      <c r="G43" s="54" t="s">
        <v>50</v>
      </c>
      <c r="H43" s="31" t="n">
        <v>84068</v>
      </c>
      <c r="I43" s="32" t="n">
        <f aca="false">(H43/$F$42)</f>
        <v>0.491850083663894</v>
      </c>
      <c r="J43" s="55" t="s">
        <v>50</v>
      </c>
      <c r="K43" s="31" t="n">
        <v>82630</v>
      </c>
      <c r="L43" s="32" t="n">
        <f aca="false">(K43/$B$42)</f>
        <v>0.407900322844985</v>
      </c>
      <c r="O43" s="33" t="n">
        <f aca="false">(K42-O42) -K46</f>
        <v>14649</v>
      </c>
      <c r="P43" s="55" t="s">
        <v>50</v>
      </c>
      <c r="Q43" s="31" t="n">
        <v>82630</v>
      </c>
      <c r="R43" s="32" t="n">
        <f aca="false">(Q43/$O$42)</f>
        <v>0.486390713663441</v>
      </c>
      <c r="S43" s="35" t="n">
        <f aca="false">(V43- 96292)</f>
        <v>40123</v>
      </c>
      <c r="T43" s="44" t="n">
        <f aca="false">(S43/V43)</f>
        <v>0.294124546420848</v>
      </c>
      <c r="U43" s="54" t="s">
        <v>39</v>
      </c>
      <c r="V43" s="31" t="n">
        <v>136415</v>
      </c>
      <c r="W43" s="32" t="n">
        <f aca="false">(V43/$B$42)</f>
        <v>0.673408236002646</v>
      </c>
      <c r="Y43" s="33" t="n">
        <f aca="false">(B42-Z42)-V43</f>
        <v>5918</v>
      </c>
      <c r="Z43" s="54" t="s">
        <v>42</v>
      </c>
      <c r="AA43" s="31" t="n">
        <v>32061</v>
      </c>
      <c r="AB43" s="32" t="n">
        <f aca="false">(AA43/$Z$42)</f>
        <v>0.532212280672632</v>
      </c>
    </row>
    <row r="44" customFormat="false" ht="13.8" hidden="false" customHeight="false" outlineLevel="0" collapsed="false">
      <c r="A44" s="54" t="s">
        <v>49</v>
      </c>
      <c r="B44" s="31" t="n">
        <v>48645</v>
      </c>
      <c r="C44" s="32" t="n">
        <f aca="false">(B44/$B$42)</f>
        <v>0.240134469379091</v>
      </c>
      <c r="G44" s="54" t="s">
        <v>49</v>
      </c>
      <c r="H44" s="31" t="n">
        <v>48645</v>
      </c>
      <c r="I44" s="32" t="n">
        <f aca="false">(H44/$F$42)</f>
        <v>0.284603503352406</v>
      </c>
      <c r="J44" s="55" t="s">
        <v>49</v>
      </c>
      <c r="K44" s="31" t="n">
        <v>48740</v>
      </c>
      <c r="L44" s="32" t="n">
        <f aca="false">(K44/$B$42)</f>
        <v>0.240603433806905</v>
      </c>
      <c r="P44" s="55" t="s">
        <v>49</v>
      </c>
      <c r="Q44" s="31" t="n">
        <v>48740</v>
      </c>
      <c r="R44" s="32" t="n">
        <f aca="false">(Q44/$O$42)</f>
        <v>0.286901650538014</v>
      </c>
      <c r="S44" s="37" t="n">
        <f aca="false">(V44- 21343)</f>
        <v>10718</v>
      </c>
      <c r="T44" s="44" t="n">
        <f aca="false">(S44/V44)</f>
        <v>0.334300240167181</v>
      </c>
      <c r="U44" s="54" t="s">
        <v>42</v>
      </c>
      <c r="V44" s="31" t="n">
        <v>32061</v>
      </c>
      <c r="W44" s="32" t="n">
        <f aca="false">(V44/$B$42)</f>
        <v>0.158268089685744</v>
      </c>
      <c r="Z44" s="54" t="s">
        <v>40</v>
      </c>
      <c r="AA44" s="31" t="n">
        <v>21684</v>
      </c>
      <c r="AB44" s="32" t="n">
        <f aca="false">(AA44/$Z$42)</f>
        <v>0.35995418402749</v>
      </c>
    </row>
    <row r="45" customFormat="false" ht="13.8" hidden="false" customHeight="false" outlineLevel="0" collapsed="false">
      <c r="A45" s="54" t="s">
        <v>43</v>
      </c>
      <c r="B45" s="31" t="n">
        <v>28668</v>
      </c>
      <c r="C45" s="32" t="n">
        <f aca="false">(B45/$B$42)</f>
        <v>0.141518654911292</v>
      </c>
      <c r="G45" s="54" t="s">
        <v>43</v>
      </c>
      <c r="H45" s="31" t="n">
        <v>28668</v>
      </c>
      <c r="I45" s="32" t="n">
        <f aca="false">(H45/$F$42)</f>
        <v>0.167725629234388</v>
      </c>
      <c r="J45" s="55" t="s">
        <v>43</v>
      </c>
      <c r="K45" s="31" t="n">
        <v>29782</v>
      </c>
      <c r="L45" s="32" t="n">
        <f aca="false">(K45/$B$42)</f>
        <v>0.147017879885869</v>
      </c>
      <c r="P45" s="55" t="s">
        <v>43</v>
      </c>
      <c r="Q45" s="31" t="n">
        <v>29782</v>
      </c>
      <c r="R45" s="32" t="n">
        <f aca="false">(Q45/$O$42)</f>
        <v>0.175307857126039</v>
      </c>
      <c r="S45" s="37" t="n">
        <f aca="false">(V45-12532)</f>
        <v>9152</v>
      </c>
      <c r="T45" s="44" t="n">
        <f aca="false">(S45/V45)</f>
        <v>0.422062350119904</v>
      </c>
      <c r="U45" s="54" t="s">
        <v>40</v>
      </c>
      <c r="V45" s="31" t="n">
        <v>21684</v>
      </c>
      <c r="W45" s="32" t="n">
        <f aca="false">(V45/$B$42)</f>
        <v>0.107042364765468</v>
      </c>
      <c r="Z45" s="54" t="s">
        <v>44</v>
      </c>
      <c r="AA45" s="31" t="n">
        <v>4484</v>
      </c>
      <c r="AB45" s="32" t="n">
        <f aca="false">(AA45/$Z$42)</f>
        <v>0.0744343553393868</v>
      </c>
    </row>
    <row r="46" customFormat="false" ht="13.8" hidden="false" customHeight="false" outlineLevel="0" collapsed="false">
      <c r="A46" s="54" t="s">
        <v>62</v>
      </c>
      <c r="B46" s="31" t="n">
        <v>18041</v>
      </c>
      <c r="C46" s="32" t="n">
        <f aca="false">(B46/$B$42)</f>
        <v>0.0890588130757156</v>
      </c>
      <c r="G46" s="54" t="s">
        <v>45</v>
      </c>
      <c r="H46" s="31" t="n">
        <v>5833</v>
      </c>
      <c r="I46" s="32" t="n">
        <f aca="false">(H46/$F$42)</f>
        <v>0.0341266776658359</v>
      </c>
      <c r="J46" s="55" t="s">
        <v>62</v>
      </c>
      <c r="K46" s="31" t="n">
        <v>18041</v>
      </c>
      <c r="L46" s="32" t="n">
        <f aca="false">(K46/$B$42)</f>
        <v>0.0890588130757156</v>
      </c>
      <c r="P46" s="55" t="s">
        <v>45</v>
      </c>
      <c r="Q46" s="31" t="n">
        <v>5683</v>
      </c>
      <c r="R46" s="32" t="n">
        <f aca="false">(Q46/$O$42)</f>
        <v>0.0334522379976925</v>
      </c>
      <c r="S46" s="37" t="n">
        <f aca="false">(V46-3393)</f>
        <v>1091</v>
      </c>
      <c r="T46" s="44" t="n">
        <f aca="false">(S46/V46)</f>
        <v>0.243309545049063</v>
      </c>
      <c r="U46" s="54" t="s">
        <v>44</v>
      </c>
      <c r="V46" s="31" t="n">
        <v>4484</v>
      </c>
      <c r="W46" s="32" t="n">
        <f aca="false">(V46/$B$42)</f>
        <v>0.0221351209928224</v>
      </c>
      <c r="Z46" s="54" t="s">
        <v>53</v>
      </c>
      <c r="AA46" s="31" t="n">
        <v>2012</v>
      </c>
      <c r="AB46" s="32" t="n">
        <f aca="false">(AA46/$Z$42)</f>
        <v>0.033399179960492</v>
      </c>
    </row>
    <row r="47" customFormat="false" ht="13.8" hidden="false" customHeight="false" outlineLevel="0" collapsed="false">
      <c r="A47" s="54" t="s">
        <v>45</v>
      </c>
      <c r="B47" s="31" t="n">
        <v>5833</v>
      </c>
      <c r="C47" s="32" t="n">
        <f aca="false">(B47/$B$42)</f>
        <v>0.0287944158677817</v>
      </c>
      <c r="G47" s="54" t="s">
        <v>47</v>
      </c>
      <c r="H47" s="31" t="n">
        <v>3708</v>
      </c>
      <c r="I47" s="32" t="n">
        <f aca="false">(H47/$F$42)</f>
        <v>0.0216941060834767</v>
      </c>
      <c r="J47" s="55" t="s">
        <v>45</v>
      </c>
      <c r="K47" s="31" t="n">
        <v>5683</v>
      </c>
      <c r="L47" s="32" t="n">
        <f aca="false">(K47/$B$42)</f>
        <v>0.0280539457186016</v>
      </c>
      <c r="P47" s="55" t="s">
        <v>47</v>
      </c>
      <c r="Q47" s="31" t="n">
        <v>3049</v>
      </c>
      <c r="R47" s="32" t="n">
        <f aca="false">(Q47/$O$42)</f>
        <v>0.0179475406748134</v>
      </c>
      <c r="S47" s="37" t="n">
        <f aca="false">(V47-616)</f>
        <v>1396</v>
      </c>
      <c r="T47" s="44" t="n">
        <f aca="false">(S47/V47)</f>
        <v>0.693836978131213</v>
      </c>
      <c r="U47" s="54" t="s">
        <v>53</v>
      </c>
      <c r="V47" s="31" t="n">
        <v>2012</v>
      </c>
      <c r="W47" s="32" t="n">
        <f aca="false">(V47/$B$42)</f>
        <v>0.00993217293433511</v>
      </c>
      <c r="AB47" s="24"/>
    </row>
    <row r="48" customFormat="false" ht="13.8" hidden="false" customHeight="false" outlineLevel="0" collapsed="false">
      <c r="A48" s="54" t="s">
        <v>47</v>
      </c>
      <c r="B48" s="31" t="n">
        <v>3708</v>
      </c>
      <c r="C48" s="32" t="n">
        <f aca="false">(B48/$B$42)</f>
        <v>0.0183044220877309</v>
      </c>
      <c r="D48" s="56"/>
      <c r="E48" s="56"/>
      <c r="F48" s="56"/>
      <c r="G48" s="56"/>
      <c r="H48" s="56"/>
      <c r="I48" s="57"/>
      <c r="J48" s="55" t="s">
        <v>47</v>
      </c>
      <c r="K48" s="31" t="n">
        <v>3049</v>
      </c>
      <c r="L48" s="32" t="n">
        <f aca="false">(K48/$B$42)</f>
        <v>0.0150512898989999</v>
      </c>
      <c r="M48" s="56"/>
      <c r="N48" s="56"/>
      <c r="O48" s="56"/>
      <c r="P48" s="56"/>
      <c r="Q48" s="56"/>
      <c r="R48" s="58"/>
      <c r="S48" s="59"/>
      <c r="T48" s="56"/>
      <c r="U48" s="56"/>
      <c r="V48" s="56"/>
      <c r="W48" s="60"/>
      <c r="X48" s="56"/>
      <c r="Y48" s="56"/>
      <c r="Z48" s="56"/>
      <c r="AA48" s="56"/>
      <c r="AB48" s="58"/>
    </row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</sheetData>
  <mergeCells count="3">
    <mergeCell ref="A1:I1"/>
    <mergeCell ref="J1:R1"/>
    <mergeCell ref="S1:AB1"/>
  </mergeCells>
  <conditionalFormatting sqref="A3:B8">
    <cfRule type="dataBar" priority="2">
      <dataBar showValue="1" minLength="0" maxLength="100">
        <cfvo type="min" val="0"/>
        <cfvo type="max" val="0"/>
        <color rgb="FF2A6099"/>
      </dataBar>
      <extLst>
        <ext xmlns:x14="http://schemas.microsoft.com/office/spreadsheetml/2009/9/main" uri="{B025F937-C7B1-47D3-B67F-A62EFF666E3E}">
          <x14:id>{D0D9828A-866C-4560-B7AD-511F68D0864E}</x14:id>
        </ext>
      </extLst>
    </cfRule>
  </conditionalFormatting>
  <conditionalFormatting sqref="G3:H7">
    <cfRule type="dataBar" priority="3">
      <dataBar showValue="1" minLength="0" maxLength="100">
        <cfvo type="min" val="0"/>
        <cfvo type="max" val="0"/>
        <color rgb="FF2A6099"/>
      </dataBar>
      <extLst>
        <ext xmlns:x14="http://schemas.microsoft.com/office/spreadsheetml/2009/9/main" uri="{B025F937-C7B1-47D3-B67F-A62EFF666E3E}">
          <x14:id>{72C0DD42-7970-4BA7-8840-E0873D74A251}</x14:id>
        </ext>
      </extLst>
    </cfRule>
  </conditionalFormatting>
  <conditionalFormatting sqref="J3:K8">
    <cfRule type="dataBar" priority="4">
      <dataBar showValue="1" minLength="0" maxLength="100">
        <cfvo type="min" val="0"/>
        <cfvo type="max" val="0"/>
        <color rgb="FF2A6099"/>
      </dataBar>
      <extLst>
        <ext xmlns:x14="http://schemas.microsoft.com/office/spreadsheetml/2009/9/main" uri="{B025F937-C7B1-47D3-B67F-A62EFF666E3E}">
          <x14:id>{3025C083-41D3-4391-BD4F-4BF6BF3692DE}</x14:id>
        </ext>
      </extLst>
    </cfRule>
  </conditionalFormatting>
  <conditionalFormatting sqref="P3:Q7">
    <cfRule type="dataBar" priority="5">
      <dataBar showValue="1" minLength="0" maxLength="100">
        <cfvo type="min" val="0"/>
        <cfvo type="max" val="0"/>
        <color rgb="FF2A6099"/>
      </dataBar>
      <extLst>
        <ext xmlns:x14="http://schemas.microsoft.com/office/spreadsheetml/2009/9/main" uri="{B025F937-C7B1-47D3-B67F-A62EFF666E3E}">
          <x14:id>{1E411B10-28AD-4FA1-8153-51C7DE701CC7}</x14:id>
        </ext>
      </extLst>
    </cfRule>
  </conditionalFormatting>
  <conditionalFormatting sqref="U3:V7">
    <cfRule type="dataBar" priority="6">
      <dataBar showValue="1" minLength="0" maxLength="100">
        <cfvo type="min" val="0"/>
        <cfvo type="max" val="0"/>
        <color rgb="FF2A6099"/>
      </dataBar>
      <extLst>
        <ext xmlns:x14="http://schemas.microsoft.com/office/spreadsheetml/2009/9/main" uri="{B025F937-C7B1-47D3-B67F-A62EFF666E3E}">
          <x14:id>{9CCCB0B2-F239-4FA4-8F43-D79E46DEC1B1}</x14:id>
        </ext>
      </extLst>
    </cfRule>
  </conditionalFormatting>
  <conditionalFormatting sqref="Z3:AA6">
    <cfRule type="dataBar" priority="7">
      <dataBar showValue="1" minLength="0" maxLength="100">
        <cfvo type="min" val="0"/>
        <cfvo type="max" val="0"/>
        <color rgb="FF2A6099"/>
      </dataBar>
      <extLst>
        <ext xmlns:x14="http://schemas.microsoft.com/office/spreadsheetml/2009/9/main" uri="{B025F937-C7B1-47D3-B67F-A62EFF666E3E}">
          <x14:id>{37D96331-6EBB-453B-ADAE-51CC3E5C5943}</x14:id>
        </ext>
      </extLst>
    </cfRule>
  </conditionalFormatting>
  <conditionalFormatting sqref="A11:B16">
    <cfRule type="dataBar" priority="8">
      <dataBar showValue="1" minLength="0" maxLength="100">
        <cfvo type="min" val="0"/>
        <cfvo type="max" val="0"/>
        <color rgb="FF00A933"/>
      </dataBar>
      <extLst>
        <ext xmlns:x14="http://schemas.microsoft.com/office/spreadsheetml/2009/9/main" uri="{B025F937-C7B1-47D3-B67F-A62EFF666E3E}">
          <x14:id>{8360F97B-C960-46E2-BD79-D6DE541F7746}</x14:id>
        </ext>
      </extLst>
    </cfRule>
  </conditionalFormatting>
  <conditionalFormatting sqref="G11:H15">
    <cfRule type="dataBar" priority="9">
      <dataBar showValue="1" minLength="0" maxLength="100">
        <cfvo type="min" val="0"/>
        <cfvo type="max" val="0"/>
        <color rgb="FF00A933"/>
      </dataBar>
      <extLst>
        <ext xmlns:x14="http://schemas.microsoft.com/office/spreadsheetml/2009/9/main" uri="{B025F937-C7B1-47D3-B67F-A62EFF666E3E}">
          <x14:id>{5CBE52E2-318A-4B2E-AFEB-4350D5BEFB9A}</x14:id>
        </ext>
      </extLst>
    </cfRule>
  </conditionalFormatting>
  <conditionalFormatting sqref="J11:K16">
    <cfRule type="dataBar" priority="10">
      <dataBar showValue="1" minLength="0" maxLength="100">
        <cfvo type="min" val="0"/>
        <cfvo type="max" val="0"/>
        <color rgb="FF00A933"/>
      </dataBar>
      <extLst>
        <ext xmlns:x14="http://schemas.microsoft.com/office/spreadsheetml/2009/9/main" uri="{B025F937-C7B1-47D3-B67F-A62EFF666E3E}">
          <x14:id>{251423D0-1DD4-4270-953C-DE796A97B3D2}</x14:id>
        </ext>
      </extLst>
    </cfRule>
  </conditionalFormatting>
  <conditionalFormatting sqref="P11:Q16">
    <cfRule type="dataBar" priority="11">
      <dataBar showValue="1" minLength="0" maxLength="100">
        <cfvo type="min" val="0"/>
        <cfvo type="max" val="0"/>
        <color rgb="FF00A933"/>
      </dataBar>
      <extLst>
        <ext xmlns:x14="http://schemas.microsoft.com/office/spreadsheetml/2009/9/main" uri="{B025F937-C7B1-47D3-B67F-A62EFF666E3E}">
          <x14:id>{99573324-70DB-4CE1-8BE9-8D3024BD4B15}</x14:id>
        </ext>
      </extLst>
    </cfRule>
  </conditionalFormatting>
  <conditionalFormatting sqref="U11:V15">
    <cfRule type="dataBar" priority="12">
      <dataBar showValue="1" minLength="0" maxLength="100">
        <cfvo type="min" val="0"/>
        <cfvo type="max" val="0"/>
        <color rgb="FF00A933"/>
      </dataBar>
      <extLst>
        <ext xmlns:x14="http://schemas.microsoft.com/office/spreadsheetml/2009/9/main" uri="{B025F937-C7B1-47D3-B67F-A62EFF666E3E}">
          <x14:id>{A67AFF70-398C-44D3-862F-45A6BE745470}</x14:id>
        </ext>
      </extLst>
    </cfRule>
  </conditionalFormatting>
  <conditionalFormatting sqref="Z11:AA14">
    <cfRule type="dataBar" priority="13">
      <dataBar showValue="1" minLength="0" maxLength="100">
        <cfvo type="min" val="0"/>
        <cfvo type="max" val="0"/>
        <color rgb="FF00A933"/>
      </dataBar>
      <extLst>
        <ext xmlns:x14="http://schemas.microsoft.com/office/spreadsheetml/2009/9/main" uri="{B025F937-C7B1-47D3-B67F-A62EFF666E3E}">
          <x14:id>{F9C0D6D0-CC9A-491E-B2AF-32E6404689C9}</x14:id>
        </ext>
      </extLst>
    </cfRule>
  </conditionalFormatting>
  <conditionalFormatting sqref="A19:B24">
    <cfRule type="dataBar" priority="14">
      <dataBar showValue="1" minLength="0" maxLength="100">
        <cfvo type="min" val="0"/>
        <cfvo type="max" val="0"/>
        <color rgb="FFFF8000"/>
      </dataBar>
      <extLst>
        <ext xmlns:x14="http://schemas.microsoft.com/office/spreadsheetml/2009/9/main" uri="{B025F937-C7B1-47D3-B67F-A62EFF666E3E}">
          <x14:id>{A9B85810-15E9-4380-A775-836BBC8A4650}</x14:id>
        </ext>
      </extLst>
    </cfRule>
  </conditionalFormatting>
  <conditionalFormatting sqref="J19:K24">
    <cfRule type="dataBar" priority="15">
      <dataBar showValue="1" minLength="0" maxLength="100">
        <cfvo type="min" val="0"/>
        <cfvo type="max" val="0"/>
        <color rgb="FFFF8000"/>
      </dataBar>
      <extLst>
        <ext xmlns:x14="http://schemas.microsoft.com/office/spreadsheetml/2009/9/main" uri="{B025F937-C7B1-47D3-B67F-A62EFF666E3E}">
          <x14:id>{60906421-4038-4D8E-874C-98B6375DF6DB}</x14:id>
        </ext>
      </extLst>
    </cfRule>
  </conditionalFormatting>
  <conditionalFormatting sqref="U19:V23">
    <cfRule type="dataBar" priority="16">
      <dataBar showValue="1" minLength="0" maxLength="100">
        <cfvo type="min" val="0"/>
        <cfvo type="max" val="0"/>
        <color rgb="FFFF8000"/>
      </dataBar>
      <extLst>
        <ext xmlns:x14="http://schemas.microsoft.com/office/spreadsheetml/2009/9/main" uri="{B025F937-C7B1-47D3-B67F-A62EFF666E3E}">
          <x14:id>{E0B07046-CF69-4B2F-A394-542955CC7BAE}</x14:id>
        </ext>
      </extLst>
    </cfRule>
  </conditionalFormatting>
  <conditionalFormatting sqref="A27:B32">
    <cfRule type="dataBar" priority="17">
      <dataBar showValue="1" minLength="0" maxLength="100">
        <cfvo type="min" val="0"/>
        <cfvo type="max" val="0"/>
        <color rgb="FF800080"/>
      </dataBar>
      <extLst>
        <ext xmlns:x14="http://schemas.microsoft.com/office/spreadsheetml/2009/9/main" uri="{B025F937-C7B1-47D3-B67F-A62EFF666E3E}">
          <x14:id>{21F25C7D-82C5-4FC6-8DA0-FBBDF02E5459}</x14:id>
        </ext>
      </extLst>
    </cfRule>
  </conditionalFormatting>
  <conditionalFormatting sqref="G27:H31">
    <cfRule type="dataBar" priority="18">
      <dataBar showValue="1" minLength="0" maxLength="100">
        <cfvo type="min" val="0"/>
        <cfvo type="max" val="0"/>
        <color rgb="FF800080"/>
      </dataBar>
      <extLst>
        <ext xmlns:x14="http://schemas.microsoft.com/office/spreadsheetml/2009/9/main" uri="{B025F937-C7B1-47D3-B67F-A62EFF666E3E}">
          <x14:id>{A7C45FA6-3B8F-45FA-BF20-E8C44D401377}</x14:id>
        </ext>
      </extLst>
    </cfRule>
  </conditionalFormatting>
  <conditionalFormatting sqref="J27:K32">
    <cfRule type="dataBar" priority="19">
      <dataBar showValue="1" minLength="0" maxLength="100">
        <cfvo type="min" val="0"/>
        <cfvo type="max" val="0"/>
        <color rgb="FF800080"/>
      </dataBar>
      <extLst>
        <ext xmlns:x14="http://schemas.microsoft.com/office/spreadsheetml/2009/9/main" uri="{B025F937-C7B1-47D3-B67F-A62EFF666E3E}">
          <x14:id>{29F52229-2AC2-4667-BA48-8059202B3995}</x14:id>
        </ext>
      </extLst>
    </cfRule>
  </conditionalFormatting>
  <conditionalFormatting sqref="P27:Q31">
    <cfRule type="dataBar" priority="20">
      <dataBar showValue="1" minLength="0" maxLength="100">
        <cfvo type="min" val="0"/>
        <cfvo type="max" val="0"/>
        <color rgb="FF800080"/>
      </dataBar>
      <extLst>
        <ext xmlns:x14="http://schemas.microsoft.com/office/spreadsheetml/2009/9/main" uri="{B025F937-C7B1-47D3-B67F-A62EFF666E3E}">
          <x14:id>{6F2E5B4D-3F12-40C5-9051-6FCF98919635}</x14:id>
        </ext>
      </extLst>
    </cfRule>
  </conditionalFormatting>
  <conditionalFormatting sqref="U27:V31">
    <cfRule type="dataBar" priority="21">
      <dataBar showValue="1" minLength="0" maxLength="100">
        <cfvo type="min" val="0"/>
        <cfvo type="max" val="0"/>
        <color rgb="FF800080"/>
      </dataBar>
      <extLst>
        <ext xmlns:x14="http://schemas.microsoft.com/office/spreadsheetml/2009/9/main" uri="{B025F937-C7B1-47D3-B67F-A62EFF666E3E}">
          <x14:id>{266442B4-F580-475A-B6F0-492C97988AE3}</x14:id>
        </ext>
      </extLst>
    </cfRule>
  </conditionalFormatting>
  <conditionalFormatting sqref="Z27:AA30">
    <cfRule type="dataBar" priority="22">
      <dataBar showValue="1" minLength="0" maxLength="100">
        <cfvo type="min" val="0"/>
        <cfvo type="max" val="0"/>
        <color rgb="FF55308D"/>
      </dataBar>
      <extLst>
        <ext xmlns:x14="http://schemas.microsoft.com/office/spreadsheetml/2009/9/main" uri="{B025F937-C7B1-47D3-B67F-A62EFF666E3E}">
          <x14:id>{FBF692C7-42F8-433F-898C-9E4C54549878}</x14:id>
        </ext>
      </extLst>
    </cfRule>
  </conditionalFormatting>
  <conditionalFormatting sqref="A35:B40">
    <cfRule type="dataBar" priority="23">
      <dataBar showValue="1" minLength="0" maxLength="100">
        <cfvo type="min" val="0"/>
        <cfvo type="max" val="0"/>
        <color rgb="FFFF0000"/>
      </dataBar>
      <extLst>
        <ext xmlns:x14="http://schemas.microsoft.com/office/spreadsheetml/2009/9/main" uri="{B025F937-C7B1-47D3-B67F-A62EFF666E3E}">
          <x14:id>{30F422B2-6817-47D1-A8FC-96C74012EEB0}</x14:id>
        </ext>
      </extLst>
    </cfRule>
  </conditionalFormatting>
  <conditionalFormatting sqref="G35:H39">
    <cfRule type="dataBar" priority="24">
      <dataBar showValue="1" minLength="0" maxLength="100">
        <cfvo type="min" val="0"/>
        <cfvo type="max" val="0"/>
        <color rgb="FFFF0000"/>
      </dataBar>
      <extLst>
        <ext xmlns:x14="http://schemas.microsoft.com/office/spreadsheetml/2009/9/main" uri="{B025F937-C7B1-47D3-B67F-A62EFF666E3E}">
          <x14:id>{D5B93D2E-1980-4F81-8F00-2127709C3B97}</x14:id>
        </ext>
      </extLst>
    </cfRule>
  </conditionalFormatting>
  <conditionalFormatting sqref="J35:K40">
    <cfRule type="dataBar" priority="25">
      <dataBar showValue="1" minLength="0" maxLength="100">
        <cfvo type="min" val="0"/>
        <cfvo type="max" val="0"/>
        <color rgb="FFFF0000"/>
      </dataBar>
      <extLst>
        <ext xmlns:x14="http://schemas.microsoft.com/office/spreadsheetml/2009/9/main" uri="{B025F937-C7B1-47D3-B67F-A62EFF666E3E}">
          <x14:id>{67E66E26-2EE1-4E3B-BDFB-2C6D7FB369BB}</x14:id>
        </ext>
      </extLst>
    </cfRule>
  </conditionalFormatting>
  <conditionalFormatting sqref="P35:Q39">
    <cfRule type="dataBar" priority="26">
      <dataBar showValue="1" minLength="0" maxLength="100">
        <cfvo type="min" val="0"/>
        <cfvo type="max" val="0"/>
        <color rgb="FFFF0000"/>
      </dataBar>
      <extLst>
        <ext xmlns:x14="http://schemas.microsoft.com/office/spreadsheetml/2009/9/main" uri="{B025F937-C7B1-47D3-B67F-A62EFF666E3E}">
          <x14:id>{56FFCC51-E4E2-4613-895A-B7CE61132BF2}</x14:id>
        </ext>
      </extLst>
    </cfRule>
  </conditionalFormatting>
  <conditionalFormatting sqref="U35:V39">
    <cfRule type="dataBar" priority="27">
      <dataBar showValue="1" minLength="0" maxLength="100">
        <cfvo type="min" val="0"/>
        <cfvo type="max" val="0"/>
        <color rgb="FFFF0000"/>
      </dataBar>
      <extLst>
        <ext xmlns:x14="http://schemas.microsoft.com/office/spreadsheetml/2009/9/main" uri="{B025F937-C7B1-47D3-B67F-A62EFF666E3E}">
          <x14:id>{A51089AE-7C4D-4B9F-A3BE-B9B12B9084B3}</x14:id>
        </ext>
      </extLst>
    </cfRule>
  </conditionalFormatting>
  <conditionalFormatting sqref="Z35:AA38">
    <cfRule type="dataBar" priority="28">
      <dataBar showValue="1" minLength="0" maxLength="100">
        <cfvo type="min" val="0"/>
        <cfvo type="max" val="0"/>
        <color rgb="FFFF0000"/>
      </dataBar>
      <extLst>
        <ext xmlns:x14="http://schemas.microsoft.com/office/spreadsheetml/2009/9/main" uri="{B025F937-C7B1-47D3-B67F-A62EFF666E3E}">
          <x14:id>{B0466491-9291-42CF-BD3D-EE4E2AC88040}</x14:id>
        </ext>
      </extLst>
    </cfRule>
  </conditionalFormatting>
  <conditionalFormatting sqref="A43:B48">
    <cfRule type="dataBar" priority="29">
      <dataBar showValue="1" minLength="0" maxLength="100">
        <cfvo type="min" val="0"/>
        <cfvo type="max" val="0"/>
        <color rgb="FFB4C7DC"/>
      </dataBar>
      <extLst>
        <ext xmlns:x14="http://schemas.microsoft.com/office/spreadsheetml/2009/9/main" uri="{B025F937-C7B1-47D3-B67F-A62EFF666E3E}">
          <x14:id>{98731EF6-7C51-41C9-9464-8A66902F404C}</x14:id>
        </ext>
      </extLst>
    </cfRule>
  </conditionalFormatting>
  <conditionalFormatting sqref="G43:H47">
    <cfRule type="dataBar" priority="30">
      <dataBar showValue="1" minLength="0" maxLength="100">
        <cfvo type="min" val="0"/>
        <cfvo type="max" val="0"/>
        <color rgb="FFB4C7DC"/>
      </dataBar>
      <extLst>
        <ext xmlns:x14="http://schemas.microsoft.com/office/spreadsheetml/2009/9/main" uri="{B025F937-C7B1-47D3-B67F-A62EFF666E3E}">
          <x14:id>{3D493925-861A-40BF-92F3-EB81F97DDE4A}</x14:id>
        </ext>
      </extLst>
    </cfRule>
  </conditionalFormatting>
  <conditionalFormatting sqref="J43:K48">
    <cfRule type="dataBar" priority="31">
      <dataBar showValue="1" minLength="0" maxLength="100">
        <cfvo type="min" val="0"/>
        <cfvo type="max" val="0"/>
        <color rgb="FFB4C7DC"/>
      </dataBar>
      <extLst>
        <ext xmlns:x14="http://schemas.microsoft.com/office/spreadsheetml/2009/9/main" uri="{B025F937-C7B1-47D3-B67F-A62EFF666E3E}">
          <x14:id>{D9CC9A40-54BB-4447-B4D5-A910EAEA8862}</x14:id>
        </ext>
      </extLst>
    </cfRule>
  </conditionalFormatting>
  <conditionalFormatting sqref="P43:Q47">
    <cfRule type="dataBar" priority="32">
      <dataBar showValue="1" minLength="0" maxLength="100">
        <cfvo type="min" val="0"/>
        <cfvo type="max" val="0"/>
        <color rgb="FFB4C7DC"/>
      </dataBar>
      <extLst>
        <ext xmlns:x14="http://schemas.microsoft.com/office/spreadsheetml/2009/9/main" uri="{B025F937-C7B1-47D3-B67F-A62EFF666E3E}">
          <x14:id>{C61538B6-5197-425B-8F8B-E0A91982D5C4}</x14:id>
        </ext>
      </extLst>
    </cfRule>
  </conditionalFormatting>
  <conditionalFormatting sqref="U43:V47">
    <cfRule type="dataBar" priority="33">
      <dataBar showValue="1" minLength="0" maxLength="100">
        <cfvo type="min" val="0"/>
        <cfvo type="max" val="0"/>
        <color rgb="FFB4C7DC"/>
      </dataBar>
      <extLst>
        <ext xmlns:x14="http://schemas.microsoft.com/office/spreadsheetml/2009/9/main" uri="{B025F937-C7B1-47D3-B67F-A62EFF666E3E}">
          <x14:id>{CDD0BEA1-521B-4F91-B714-D22B6C8F99DC}</x14:id>
        </ext>
      </extLst>
    </cfRule>
  </conditionalFormatting>
  <conditionalFormatting sqref="Z43:AA46">
    <cfRule type="dataBar" priority="34">
      <dataBar showValue="1" minLength="0" maxLength="100">
        <cfvo type="min" val="0"/>
        <cfvo type="max" val="0"/>
        <color rgb="FFB4C7DC"/>
      </dataBar>
      <extLst>
        <ext xmlns:x14="http://schemas.microsoft.com/office/spreadsheetml/2009/9/main" uri="{B025F937-C7B1-47D3-B67F-A62EFF666E3E}">
          <x14:id>{65464555-101C-49D8-8D66-8472C98018DD}</x14:id>
        </ext>
      </extLst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D9828A-866C-4560-B7AD-511F68D0864E}">
            <x14:dataBar minLength="0" maxLength="100" axisPosition="automatic" gradient="true">
              <x14:cfvo type="autoMin"/>
              <x14:cfvo type="autoMax"/>
              <x14:negativeFillColor rgb="FF2A6099"/>
              <x14:axisColor rgb="FF000000"/>
            </x14:dataBar>
          </x14:cfRule>
          <xm:sqref>A3:B8</xm:sqref>
        </x14:conditionalFormatting>
        <x14:conditionalFormatting xmlns:xm="http://schemas.microsoft.com/office/excel/2006/main">
          <x14:cfRule type="dataBar" id="{72C0DD42-7970-4BA7-8840-E0873D74A251}">
            <x14:dataBar minLength="0" maxLength="100" axisPosition="automatic" gradient="true">
              <x14:cfvo type="autoMin"/>
              <x14:cfvo type="autoMax"/>
              <x14:negativeFillColor rgb="FF2A6099"/>
              <x14:axisColor rgb="FF000000"/>
            </x14:dataBar>
          </x14:cfRule>
          <xm:sqref>G3:H7</xm:sqref>
        </x14:conditionalFormatting>
        <x14:conditionalFormatting xmlns:xm="http://schemas.microsoft.com/office/excel/2006/main">
          <x14:cfRule type="dataBar" id="{3025C083-41D3-4391-BD4F-4BF6BF3692DE}">
            <x14:dataBar minLength="0" maxLength="100" axisPosition="automatic" gradient="true">
              <x14:cfvo type="autoMin"/>
              <x14:cfvo type="autoMax"/>
              <x14:negativeFillColor rgb="FF2A6099"/>
              <x14:axisColor rgb="FF000000"/>
            </x14:dataBar>
          </x14:cfRule>
          <xm:sqref>J3:K8</xm:sqref>
        </x14:conditionalFormatting>
        <x14:conditionalFormatting xmlns:xm="http://schemas.microsoft.com/office/excel/2006/main">
          <x14:cfRule type="dataBar" id="{1E411B10-28AD-4FA1-8153-51C7DE701CC7}">
            <x14:dataBar minLength="0" maxLength="100" axisPosition="automatic" gradient="true">
              <x14:cfvo type="autoMin"/>
              <x14:cfvo type="autoMax"/>
              <x14:negativeFillColor rgb="FF2A6099"/>
              <x14:axisColor rgb="FF000000"/>
            </x14:dataBar>
          </x14:cfRule>
          <xm:sqref>P3:Q7</xm:sqref>
        </x14:conditionalFormatting>
        <x14:conditionalFormatting xmlns:xm="http://schemas.microsoft.com/office/excel/2006/main">
          <x14:cfRule type="dataBar" id="{9CCCB0B2-F239-4FA4-8F43-D79E46DEC1B1}">
            <x14:dataBar minLength="0" maxLength="100" axisPosition="automatic" gradient="true">
              <x14:cfvo type="autoMin"/>
              <x14:cfvo type="autoMax"/>
              <x14:negativeFillColor rgb="FF2A6099"/>
              <x14:axisColor rgb="FF000000"/>
            </x14:dataBar>
          </x14:cfRule>
          <xm:sqref>U3:V7</xm:sqref>
        </x14:conditionalFormatting>
        <x14:conditionalFormatting xmlns:xm="http://schemas.microsoft.com/office/excel/2006/main">
          <x14:cfRule type="dataBar" id="{37D96331-6EBB-453B-ADAE-51CC3E5C5943}">
            <x14:dataBar minLength="0" maxLength="100" axisPosition="automatic" gradient="true">
              <x14:cfvo type="autoMin"/>
              <x14:cfvo type="autoMax"/>
              <x14:negativeFillColor rgb="FF2A6099"/>
              <x14:axisColor rgb="FF000000"/>
            </x14:dataBar>
          </x14:cfRule>
          <xm:sqref>Z3:AA6</xm:sqref>
        </x14:conditionalFormatting>
        <x14:conditionalFormatting xmlns:xm="http://schemas.microsoft.com/office/excel/2006/main">
          <x14:cfRule type="dataBar" id="{8360F97B-C960-46E2-BD79-D6DE541F7746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A11:B16</xm:sqref>
        </x14:conditionalFormatting>
        <x14:conditionalFormatting xmlns:xm="http://schemas.microsoft.com/office/excel/2006/main">
          <x14:cfRule type="dataBar" id="{5CBE52E2-318A-4B2E-AFEB-4350D5BEFB9A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G11:H15</xm:sqref>
        </x14:conditionalFormatting>
        <x14:conditionalFormatting xmlns:xm="http://schemas.microsoft.com/office/excel/2006/main">
          <x14:cfRule type="dataBar" id="{251423D0-1DD4-4270-953C-DE796A97B3D2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J11:K16</xm:sqref>
        </x14:conditionalFormatting>
        <x14:conditionalFormatting xmlns:xm="http://schemas.microsoft.com/office/excel/2006/main">
          <x14:cfRule type="dataBar" id="{99573324-70DB-4CE1-8BE9-8D3024BD4B15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P11:Q16</xm:sqref>
        </x14:conditionalFormatting>
        <x14:conditionalFormatting xmlns:xm="http://schemas.microsoft.com/office/excel/2006/main">
          <x14:cfRule type="dataBar" id="{A67AFF70-398C-44D3-862F-45A6BE745470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U11:V15</xm:sqref>
        </x14:conditionalFormatting>
        <x14:conditionalFormatting xmlns:xm="http://schemas.microsoft.com/office/excel/2006/main">
          <x14:cfRule type="dataBar" id="{F9C0D6D0-CC9A-491E-B2AF-32E6404689C9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Z11:AA14</xm:sqref>
        </x14:conditionalFormatting>
        <x14:conditionalFormatting xmlns:xm="http://schemas.microsoft.com/office/excel/2006/main">
          <x14:cfRule type="dataBar" id="{A9B85810-15E9-4380-A775-836BBC8A4650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A19:B24</xm:sqref>
        </x14:conditionalFormatting>
        <x14:conditionalFormatting xmlns:xm="http://schemas.microsoft.com/office/excel/2006/main">
          <x14:cfRule type="dataBar" id="{60906421-4038-4D8E-874C-98B6375DF6DB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J19:K24</xm:sqref>
        </x14:conditionalFormatting>
        <x14:conditionalFormatting xmlns:xm="http://schemas.microsoft.com/office/excel/2006/main">
          <x14:cfRule type="dataBar" id="{E0B07046-CF69-4B2F-A394-542955CC7BAE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U19:V23</xm:sqref>
        </x14:conditionalFormatting>
        <x14:conditionalFormatting xmlns:xm="http://schemas.microsoft.com/office/excel/2006/main">
          <x14:cfRule type="dataBar" id="{21F25C7D-82C5-4FC6-8DA0-FBBDF02E5459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A27:B32</xm:sqref>
        </x14:conditionalFormatting>
        <x14:conditionalFormatting xmlns:xm="http://schemas.microsoft.com/office/excel/2006/main">
          <x14:cfRule type="dataBar" id="{A7C45FA6-3B8F-45FA-BF20-E8C44D401377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G27:H31</xm:sqref>
        </x14:conditionalFormatting>
        <x14:conditionalFormatting xmlns:xm="http://schemas.microsoft.com/office/excel/2006/main">
          <x14:cfRule type="dataBar" id="{29F52229-2AC2-4667-BA48-8059202B3995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J27:K32</xm:sqref>
        </x14:conditionalFormatting>
        <x14:conditionalFormatting xmlns:xm="http://schemas.microsoft.com/office/excel/2006/main">
          <x14:cfRule type="dataBar" id="{6F2E5B4D-3F12-40C5-9051-6FCF98919635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P27:Q31</xm:sqref>
        </x14:conditionalFormatting>
        <x14:conditionalFormatting xmlns:xm="http://schemas.microsoft.com/office/excel/2006/main">
          <x14:cfRule type="dataBar" id="{266442B4-F580-475A-B6F0-492C97988AE3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U27:V31</xm:sqref>
        </x14:conditionalFormatting>
        <x14:conditionalFormatting xmlns:xm="http://schemas.microsoft.com/office/excel/2006/main">
          <x14:cfRule type="dataBar" id="{FBF692C7-42F8-433F-898C-9E4C54549878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Z27:AA30</xm:sqref>
        </x14:conditionalFormatting>
        <x14:conditionalFormatting xmlns:xm="http://schemas.microsoft.com/office/excel/2006/main">
          <x14:cfRule type="dataBar" id="{30F422B2-6817-47D1-A8FC-96C74012EEB0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A35:B40</xm:sqref>
        </x14:conditionalFormatting>
        <x14:conditionalFormatting xmlns:xm="http://schemas.microsoft.com/office/excel/2006/main">
          <x14:cfRule type="dataBar" id="{D5B93D2E-1980-4F81-8F00-2127709C3B97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G35:H39</xm:sqref>
        </x14:conditionalFormatting>
        <x14:conditionalFormatting xmlns:xm="http://schemas.microsoft.com/office/excel/2006/main">
          <x14:cfRule type="dataBar" id="{67E66E26-2EE1-4E3B-BDFB-2C6D7FB369BB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J35:K40</xm:sqref>
        </x14:conditionalFormatting>
        <x14:conditionalFormatting xmlns:xm="http://schemas.microsoft.com/office/excel/2006/main">
          <x14:cfRule type="dataBar" id="{56FFCC51-E4E2-4613-895A-B7CE61132BF2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P35:Q39</xm:sqref>
        </x14:conditionalFormatting>
        <x14:conditionalFormatting xmlns:xm="http://schemas.microsoft.com/office/excel/2006/main">
          <x14:cfRule type="dataBar" id="{A51089AE-7C4D-4B9F-A3BE-B9B12B9084B3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U35:V39</xm:sqref>
        </x14:conditionalFormatting>
        <x14:conditionalFormatting xmlns:xm="http://schemas.microsoft.com/office/excel/2006/main">
          <x14:cfRule type="dataBar" id="{B0466491-9291-42CF-BD3D-EE4E2AC88040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Z35:AA38</xm:sqref>
        </x14:conditionalFormatting>
        <x14:conditionalFormatting xmlns:xm="http://schemas.microsoft.com/office/excel/2006/main">
          <x14:cfRule type="dataBar" id="{98731EF6-7C51-41C9-9464-8A66902F404C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A43:B48</xm:sqref>
        </x14:conditionalFormatting>
        <x14:conditionalFormatting xmlns:xm="http://schemas.microsoft.com/office/excel/2006/main">
          <x14:cfRule type="dataBar" id="{3D493925-861A-40BF-92F3-EB81F97DDE4A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G43:H47</xm:sqref>
        </x14:conditionalFormatting>
        <x14:conditionalFormatting xmlns:xm="http://schemas.microsoft.com/office/excel/2006/main">
          <x14:cfRule type="dataBar" id="{D9CC9A40-54BB-4447-B4D5-A910EAEA8862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J43:K48</xm:sqref>
        </x14:conditionalFormatting>
        <x14:conditionalFormatting xmlns:xm="http://schemas.microsoft.com/office/excel/2006/main">
          <x14:cfRule type="dataBar" id="{C61538B6-5197-425B-8F8B-E0A91982D5C4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P43:Q47</xm:sqref>
        </x14:conditionalFormatting>
        <x14:conditionalFormatting xmlns:xm="http://schemas.microsoft.com/office/excel/2006/main">
          <x14:cfRule type="dataBar" id="{CDD0BEA1-521B-4F91-B714-D22B6C8F99DC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U43:V47</xm:sqref>
        </x14:conditionalFormatting>
        <x14:conditionalFormatting xmlns:xm="http://schemas.microsoft.com/office/excel/2006/main">
          <x14:cfRule type="dataBar" id="{65464555-101C-49D8-8D66-8472C98018DD}">
            <x14:dataBar minLength="0" maxLength="10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Z43:AA46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426</TotalTime>
  <Application>LibreOffice/24.2.2.2$Windows_X86_64 LibreOffice_project/d56cc158d8a96260b836f100ef4b4ef25d6f1a01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2026-02-23T02:30:42Z</dcterms:created>
  <dc:creator>gerardourraco234@gmail.com</dc:creator>
  <dc:description/>
  <dc:language>en-US</dc:language>
  <cp:lastModifiedBy/>
  <dcterms:modified xsi:type="dcterms:W3CDTF">2026-02-27T16:55:40Z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